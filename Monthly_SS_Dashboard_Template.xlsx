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nif\OneDrive - DANA INDONESIA\AML\SS_Dashboard\"/>
    </mc:Choice>
  </mc:AlternateContent>
  <xr:revisionPtr revIDLastSave="0" documentId="13_ncr:1_{C82DC60E-2C61-4604-B49C-427BF1439F67}" xr6:coauthVersionLast="47" xr6:coauthVersionMax="47" xr10:uidLastSave="{00000000-0000-0000-0000-000000000000}"/>
  <bookViews>
    <workbookView xWindow="-110" yWindow="-110" windowWidth="19420" windowHeight="10300" activeTab="4" xr2:uid="{6D91638C-2A40-47C5-AD59-825E354C5A52}"/>
  </bookViews>
  <sheets>
    <sheet name="Screening" sheetId="6" r:id="rId1"/>
    <sheet name="Remittance" sheetId="9" r:id="rId2"/>
    <sheet name=" Sub Merchant" sheetId="4" r:id="rId3"/>
    <sheet name="Newsletter" sheetId="2" r:id="rId4"/>
    <sheet name="DTTO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9" i="6" l="1"/>
  <c r="V99" i="6"/>
  <c r="U98" i="6"/>
  <c r="X16" i="6"/>
  <c r="X83" i="6"/>
  <c r="W22" i="6" s="1"/>
  <c r="X22" i="6" s="1"/>
  <c r="I12" i="9"/>
  <c r="C40" i="6"/>
  <c r="C39" i="6"/>
  <c r="B40" i="6"/>
  <c r="B39" i="6"/>
  <c r="F24" i="6"/>
  <c r="E24" i="6"/>
  <c r="E23" i="6"/>
  <c r="C24" i="6"/>
  <c r="M7" i="6"/>
  <c r="E7" i="6"/>
  <c r="B24" i="6" s="1"/>
  <c r="I7" i="6"/>
  <c r="I4" i="6"/>
  <c r="I5" i="6"/>
  <c r="I6" i="6"/>
  <c r="C23" i="6" s="1"/>
  <c r="E6" i="6"/>
  <c r="B23" i="6" s="1"/>
  <c r="X82" i="6"/>
  <c r="X4" i="6"/>
  <c r="X10" i="6"/>
  <c r="U96" i="6"/>
  <c r="Y10" i="6"/>
  <c r="Y4" i="6"/>
  <c r="Y16" i="6"/>
  <c r="X21" i="6" l="1"/>
  <c r="X20" i="6"/>
  <c r="X19" i="6"/>
  <c r="X18" i="6"/>
  <c r="X17" i="6"/>
  <c r="V98" i="6" s="1"/>
  <c r="X15" i="6"/>
  <c r="X14" i="6"/>
  <c r="X13" i="6"/>
  <c r="X12" i="6"/>
  <c r="X11" i="6"/>
  <c r="X9" i="6"/>
  <c r="X8" i="6"/>
  <c r="X7" i="6"/>
  <c r="X6" i="6"/>
  <c r="X5" i="6"/>
  <c r="V96" i="6" s="1"/>
  <c r="X80" i="6"/>
  <c r="B38" i="6"/>
  <c r="B37" i="6"/>
  <c r="F23" i="6"/>
  <c r="F22" i="6"/>
  <c r="F21" i="6"/>
  <c r="C22" i="6"/>
  <c r="E5" i="6"/>
  <c r="B22" i="6" s="1"/>
  <c r="M6" i="6"/>
  <c r="M5" i="6"/>
  <c r="E22" i="6" s="1"/>
  <c r="M4" i="6"/>
  <c r="E21" i="6" s="1"/>
  <c r="C21" i="6"/>
  <c r="E4" i="6"/>
  <c r="B21" i="6" s="1"/>
  <c r="I11" i="9"/>
  <c r="I10" i="9"/>
  <c r="I9" i="9"/>
  <c r="I8" i="9"/>
  <c r="I7" i="9"/>
  <c r="I6" i="9"/>
  <c r="I5" i="9"/>
  <c r="I4" i="9"/>
  <c r="I3" i="9"/>
  <c r="I2" i="9"/>
  <c r="X81" i="6"/>
  <c r="Z11" i="6"/>
  <c r="U97" i="6" s="1"/>
  <c r="V97" i="6" l="1"/>
  <c r="C37" i="6"/>
  <c r="C38" i="6"/>
  <c r="C15" i="5" l="1"/>
  <c r="J2" i="4"/>
  <c r="K2" i="4" s="1"/>
</calcChain>
</file>

<file path=xl/sharedStrings.xml><?xml version="1.0" encoding="utf-8"?>
<sst xmlns="http://schemas.openxmlformats.org/spreadsheetml/2006/main" count="324" uniqueCount="171">
  <si>
    <t>Realtime Screening Update</t>
  </si>
  <si>
    <t>Batch Screening Update</t>
  </si>
  <si>
    <t>Month</t>
  </si>
  <si>
    <t>Total Alert Generate</t>
  </si>
  <si>
    <t>Total Closed</t>
  </si>
  <si>
    <t>January</t>
  </si>
  <si>
    <t>Type Alert</t>
  </si>
  <si>
    <t>February</t>
  </si>
  <si>
    <t>BATCH_PEP_INDIVIDUAL</t>
  </si>
  <si>
    <t>March</t>
  </si>
  <si>
    <t>BATCH_SANC_INDIVIDUAL</t>
  </si>
  <si>
    <t>PEP</t>
  </si>
  <si>
    <t>April</t>
  </si>
  <si>
    <t>BATCH_INTERNAL_INDIVIDUAL</t>
  </si>
  <si>
    <t>May</t>
  </si>
  <si>
    <t>BATCH_PEP_MERCHANT</t>
  </si>
  <si>
    <t>Crime</t>
  </si>
  <si>
    <t>June</t>
  </si>
  <si>
    <t>BATCH_SANC_MERCHANT</t>
  </si>
  <si>
    <t>July</t>
  </si>
  <si>
    <t>BATCH_SANC_INTERNAL_MERCHANT</t>
  </si>
  <si>
    <t>August</t>
  </si>
  <si>
    <t xml:space="preserve">September </t>
  </si>
  <si>
    <t>October</t>
  </si>
  <si>
    <t xml:space="preserve">November </t>
  </si>
  <si>
    <t xml:space="preserve">December </t>
  </si>
  <si>
    <t>Realtime Generated Alert</t>
  </si>
  <si>
    <t>Individual Alert</t>
  </si>
  <si>
    <t>Entity Alert</t>
  </si>
  <si>
    <t>Total False Hit Individual</t>
  </si>
  <si>
    <t>Total True Hit Individual</t>
  </si>
  <si>
    <t>Total Alert Generated Individual</t>
  </si>
  <si>
    <t>Total False Hit Entity</t>
  </si>
  <si>
    <t>Total True Hit Entity</t>
  </si>
  <si>
    <t>Total Alert Generated Entity</t>
  </si>
  <si>
    <t>Realtime False Hit and True Hit Alert</t>
  </si>
  <si>
    <t>False Hit PEP</t>
  </si>
  <si>
    <t>False Hit Sanction</t>
  </si>
  <si>
    <t>False Hit Internal List</t>
  </si>
  <si>
    <t>False Hit Multitype</t>
  </si>
  <si>
    <t>True Hit PEP</t>
  </si>
  <si>
    <t>True Hit Sanction</t>
  </si>
  <si>
    <t>True Hit Internal List</t>
  </si>
  <si>
    <t>True Hit Multitype</t>
  </si>
  <si>
    <t>Email Date</t>
  </si>
  <si>
    <t>Subject</t>
  </si>
  <si>
    <t>Recorded Names</t>
  </si>
  <si>
    <t>AMLnewsletter_050126</t>
  </si>
  <si>
    <t>AMLnewsletter_060126</t>
  </si>
  <si>
    <t>amlnews_070126</t>
  </si>
  <si>
    <t>amlnews_080126</t>
  </si>
  <si>
    <t>amlnews_12-130126</t>
  </si>
  <si>
    <t>amlnews_140126</t>
  </si>
  <si>
    <t>amlnews_150126</t>
  </si>
  <si>
    <t>AMLnewsletter_190126</t>
  </si>
  <si>
    <t>AMLnewsletter_200126</t>
  </si>
  <si>
    <t>AMLnewsletter_210126</t>
  </si>
  <si>
    <t>AMLnewsletter_220126</t>
  </si>
  <si>
    <t>AMLnewsletter_230126</t>
  </si>
  <si>
    <t>AMLnewsletter_260126</t>
  </si>
  <si>
    <t>AMLnewsletter_270126</t>
  </si>
  <si>
    <t>AMLnewsletter_280126</t>
  </si>
  <si>
    <t>AMLnewsletter_29-300126</t>
  </si>
  <si>
    <t>AMLnewsletter_020226</t>
  </si>
  <si>
    <t>AMLnewsletter_030226</t>
  </si>
  <si>
    <t>AMLnewsletter_040226</t>
  </si>
  <si>
    <t>AMLnewsletter_050226</t>
  </si>
  <si>
    <t>AMLnewsletter_06 - 090226</t>
  </si>
  <si>
    <t>AMLnewsletter_10 - 110226</t>
  </si>
  <si>
    <t>AMLewsletter_120226</t>
  </si>
  <si>
    <t>AMLnewsletter_130226</t>
  </si>
  <si>
    <t>AMLnewsletter_180226</t>
  </si>
  <si>
    <t>AMLnewsletter_19-200226</t>
  </si>
  <si>
    <t>AMLnewsletter_230226</t>
  </si>
  <si>
    <t>AMLnewsletter_240226</t>
  </si>
  <si>
    <t>AMLnewsletter_250226</t>
  </si>
  <si>
    <t>AMLnewsletter_260226</t>
  </si>
  <si>
    <t>AMLnewsletter_270226</t>
  </si>
  <si>
    <t>AMLnewsletter_020326</t>
  </si>
  <si>
    <t>AMLnewsletter_030326</t>
  </si>
  <si>
    <t>AMLnewsletter_040326</t>
  </si>
  <si>
    <t>AMLnewsletter_060326</t>
  </si>
  <si>
    <t>AMLnewsletter_090326</t>
  </si>
  <si>
    <t>amlnewsletter_100326</t>
  </si>
  <si>
    <t>amlnewsletter_110326</t>
  </si>
  <si>
    <t>amlnewsletter_120326</t>
  </si>
  <si>
    <t>amlnewsletter_130326</t>
  </si>
  <si>
    <t>Remittance Data</t>
  </si>
  <si>
    <t>Screening Date</t>
  </si>
  <si>
    <t>HIT</t>
  </si>
  <si>
    <t>NOT HIT</t>
  </si>
  <si>
    <t>False Hit</t>
  </si>
  <si>
    <t>True Hit</t>
  </si>
  <si>
    <t>Total</t>
  </si>
  <si>
    <t>Regulatory Report for Espay - Dana  050126</t>
  </si>
  <si>
    <t>Regulatory Report for Espay - Dana  120126</t>
  </si>
  <si>
    <t>Regulatory Report for Espay - Dana  190126</t>
  </si>
  <si>
    <t>Regulatory Report for Espay - Dana  260126</t>
  </si>
  <si>
    <t>Regulatory Report for Espay - Dana  020226</t>
  </si>
  <si>
    <t>Regulatory Report for Espay - Dana  090226</t>
  </si>
  <si>
    <t>Regulatory Report for Espay - Dana  100226</t>
  </si>
  <si>
    <t>Regulatory Report for Espay - Dana  170226</t>
  </si>
  <si>
    <t>Regulatory Report for Espay - Dana 240226</t>
  </si>
  <si>
    <t>Regulatory Report for Espay - Dana 030326</t>
  </si>
  <si>
    <t>Regulatory Report for Espay - Dana 100326</t>
  </si>
  <si>
    <t>Sub Merchant Data</t>
  </si>
  <si>
    <t>Internal Shop ID</t>
  </si>
  <si>
    <t>False Hit Individual</t>
  </si>
  <si>
    <t>True Hit Individual</t>
  </si>
  <si>
    <t>False Hit Entity</t>
  </si>
  <si>
    <t>True Hit Entity</t>
  </si>
  <si>
    <t>Total True Hit</t>
  </si>
  <si>
    <t>Total False Hit</t>
  </si>
  <si>
    <t>Total Hit</t>
  </si>
  <si>
    <t>Data Sub Merchant January 2026</t>
  </si>
  <si>
    <t>Data Sub Merchant February 2026</t>
  </si>
  <si>
    <t>DTTOT Number</t>
  </si>
  <si>
    <t>DTTOT 76</t>
  </si>
  <si>
    <t>DTTOT 77</t>
  </si>
  <si>
    <t>DTTOT 78</t>
  </si>
  <si>
    <t>DTTOT 79</t>
  </si>
  <si>
    <t>DTTOT 80</t>
  </si>
  <si>
    <t>DTTOT 81</t>
  </si>
  <si>
    <t>DTTOT-Maret 2026</t>
  </si>
  <si>
    <t>Sanction</t>
  </si>
  <si>
    <t>Internal List</t>
  </si>
  <si>
    <t>Multitype</t>
  </si>
  <si>
    <t>Automation Closed</t>
  </si>
  <si>
    <t>Manually Closed</t>
  </si>
  <si>
    <t>Alert Generated</t>
  </si>
  <si>
    <t>BATCH</t>
  </si>
  <si>
    <t>Batch Screening Alert</t>
  </si>
  <si>
    <t>PEP/ Crime</t>
  </si>
  <si>
    <t>Total Data Received</t>
  </si>
  <si>
    <t>DTTOT 20260105</t>
  </si>
  <si>
    <t xml:space="preserve">False Hit Alert Individual </t>
  </si>
  <si>
    <t>True Hit Alert Individual</t>
  </si>
  <si>
    <t>Batch_PEP_Individual True Hit Screening Alert</t>
  </si>
  <si>
    <t>Regulatory Report for Espay - Dana 170326</t>
  </si>
  <si>
    <t>Regulatory Report for Espay - Dana 240326</t>
  </si>
  <si>
    <t>Regulatory Report for Espay - Dana 310326</t>
  </si>
  <si>
    <t>Regulatory Report for Espay - Dana 070426</t>
  </si>
  <si>
    <t>Regulatory Report for Espay - Dana 140426</t>
  </si>
  <si>
    <t>Regulatory Report for Espay - Dana 210426</t>
  </si>
  <si>
    <t>Data Sub Merchant March 2026</t>
  </si>
  <si>
    <t>September</t>
  </si>
  <si>
    <t>November</t>
  </si>
  <si>
    <t>December</t>
  </si>
  <si>
    <t>Data Sub Merchant April 2026</t>
  </si>
  <si>
    <t>amlnewsletter_140426</t>
  </si>
  <si>
    <t>amlnewsletter_150426</t>
  </si>
  <si>
    <t>amlnewsletter_160426</t>
  </si>
  <si>
    <t>amlnewsletter_170426</t>
  </si>
  <si>
    <t>amlnewsletter_200426</t>
  </si>
  <si>
    <t>amlnewsletter_210426</t>
  </si>
  <si>
    <t>amlnewsletter_220426</t>
  </si>
  <si>
    <t>amlnewsletter_230426</t>
  </si>
  <si>
    <t>amlnewsletter_240426</t>
  </si>
  <si>
    <t>amlnewsletter_270426</t>
  </si>
  <si>
    <t>amlnewsletter_280426</t>
  </si>
  <si>
    <t>amlnewsletter_290426</t>
  </si>
  <si>
    <t>amlnewsletter_300426</t>
  </si>
  <si>
    <t>amlnewsletter_040526</t>
  </si>
  <si>
    <t>amlnewsletter_050526</t>
  </si>
  <si>
    <t>amlnewsletter_060526</t>
  </si>
  <si>
    <t>amlnewsletter_070526</t>
  </si>
  <si>
    <t>SR 4280 &amp; SR 4203A</t>
  </si>
  <si>
    <t>DTTOT 20260227</t>
  </si>
  <si>
    <t>DTTOT 20260326</t>
  </si>
  <si>
    <t>DTTOT LISTING 30 MARET 2026</t>
  </si>
  <si>
    <t>DTTOT RENEWAL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</si>
</sst>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5" formatCode="[$-13809]dd/mm/yyyy;@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2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Aptos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DADAD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88">
    <xf numFmtId="0" fontId="0" fillId="0" borderId="0" xfId="0"/>
    <xf numFmtId="0" fontId="3" fillId="2" borderId="1" xfId="0" applyFont="1" applyFill="1" applyBorder="1" applyAlignment="1">
      <alignment horizontal="center" wrapText="1" readingOrder="1"/>
    </xf>
    <xf numFmtId="0" fontId="4" fillId="3" borderId="2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readingOrder="1"/>
    </xf>
    <xf numFmtId="0" fontId="4" fillId="7" borderId="7" xfId="0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readingOrder="1"/>
    </xf>
    <xf numFmtId="0" fontId="4" fillId="8" borderId="5" xfId="0" applyFont="1" applyFill="1" applyBorder="1" applyAlignment="1">
      <alignment horizontal="center" vertical="center" readingOrder="1"/>
    </xf>
    <xf numFmtId="0" fontId="5" fillId="0" borderId="8" xfId="0" applyFont="1" applyBorder="1" applyAlignment="1">
      <alignment horizontal="left" wrapText="1" readingOrder="1"/>
    </xf>
    <xf numFmtId="0" fontId="5" fillId="0" borderId="9" xfId="0" applyFont="1" applyBorder="1" applyAlignment="1">
      <alignment horizontal="left" wrapText="1" readingOrder="1"/>
    </xf>
    <xf numFmtId="0" fontId="0" fillId="0" borderId="1" xfId="0" applyBorder="1"/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1" xfId="0" applyFont="1" applyBorder="1" applyAlignment="1">
      <alignment vertical="center"/>
    </xf>
    <xf numFmtId="14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readingOrder="1"/>
    </xf>
    <xf numFmtId="0" fontId="8" fillId="0" borderId="1" xfId="0" applyFont="1" applyBorder="1" applyAlignment="1">
      <alignment vertical="center" readingOrder="1"/>
    </xf>
    <xf numFmtId="0" fontId="2" fillId="4" borderId="1" xfId="0" applyFont="1" applyFill="1" applyBorder="1" applyAlignment="1">
      <alignment horizontal="center"/>
    </xf>
    <xf numFmtId="0" fontId="15" fillId="0" borderId="0" xfId="0" applyFont="1"/>
    <xf numFmtId="17" fontId="0" fillId="0" borderId="1" xfId="0" applyNumberFormat="1" applyBorder="1" applyAlignment="1">
      <alignment horizontal="center"/>
    </xf>
    <xf numFmtId="0" fontId="16" fillId="0" borderId="0" xfId="0" applyFont="1"/>
    <xf numFmtId="0" fontId="2" fillId="1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4" fontId="7" fillId="0" borderId="1" xfId="0" applyNumberFormat="1" applyFont="1" applyBorder="1"/>
    <xf numFmtId="14" fontId="12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14" fontId="12" fillId="0" borderId="1" xfId="0" applyNumberFormat="1" applyFont="1" applyBorder="1" applyAlignment="1">
      <alignment vertical="center"/>
    </xf>
    <xf numFmtId="14" fontId="12" fillId="0" borderId="1" xfId="0" applyNumberFormat="1" applyFont="1" applyBorder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14" fontId="13" fillId="0" borderId="1" xfId="0" applyNumberFormat="1" applyFont="1" applyBorder="1"/>
    <xf numFmtId="0" fontId="13" fillId="0" borderId="1" xfId="0" applyFont="1" applyBorder="1"/>
    <xf numFmtId="0" fontId="5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vertical="center"/>
    </xf>
    <xf numFmtId="165" fontId="11" fillId="0" borderId="1" xfId="0" applyNumberFormat="1" applyFont="1" applyBorder="1" applyAlignment="1">
      <alignment vertical="center"/>
    </xf>
    <xf numFmtId="165" fontId="11" fillId="0" borderId="11" xfId="0" applyNumberFormat="1" applyFont="1" applyBorder="1" applyAlignment="1">
      <alignment vertical="center"/>
    </xf>
    <xf numFmtId="0" fontId="17" fillId="15" borderId="1" xfId="0" applyFont="1" applyFill="1" applyBorder="1" applyAlignment="1">
      <alignment horizontal="center" wrapText="1"/>
    </xf>
    <xf numFmtId="0" fontId="17" fillId="1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1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readingOrder="1"/>
    </xf>
    <xf numFmtId="0" fontId="3" fillId="0" borderId="12" xfId="0" applyFont="1" applyBorder="1" applyAlignment="1">
      <alignment readingOrder="1"/>
    </xf>
    <xf numFmtId="0" fontId="0" fillId="0" borderId="17" xfId="0" applyBorder="1"/>
    <xf numFmtId="0" fontId="0" fillId="0" borderId="18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66" fontId="5" fillId="0" borderId="4" xfId="1" applyNumberFormat="1" applyFont="1" applyBorder="1" applyAlignment="1">
      <alignment horizontal="center" vertical="center" wrapText="1" readingOrder="1"/>
    </xf>
    <xf numFmtId="166" fontId="0" fillId="0" borderId="1" xfId="1" applyNumberFormat="1" applyFont="1" applyBorder="1" applyAlignment="1">
      <alignment horizontal="center"/>
    </xf>
    <xf numFmtId="0" fontId="12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0" fillId="0" borderId="0" xfId="0" applyNumberFormat="1"/>
    <xf numFmtId="0" fontId="1" fillId="13" borderId="10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readingOrder="1"/>
    </xf>
    <xf numFmtId="0" fontId="6" fillId="10" borderId="1" xfId="0" applyFont="1" applyFill="1" applyBorder="1" applyAlignment="1">
      <alignment horizontal="center"/>
    </xf>
    <xf numFmtId="17" fontId="0" fillId="0" borderId="11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17" fontId="0" fillId="0" borderId="15" xfId="0" applyNumberFormat="1" applyBorder="1" applyAlignment="1">
      <alignment horizontal="center" vertical="center"/>
    </xf>
    <xf numFmtId="164" fontId="0" fillId="0" borderId="14" xfId="0" applyNumberForma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7127-5C71-4001-AEED-F5F45F898389}">
  <dimension ref="A1:Z107"/>
  <sheetViews>
    <sheetView topLeftCell="H1" zoomScale="60" zoomScaleNormal="60" workbookViewId="0">
      <selection activeCell="Y99" sqref="Y99"/>
    </sheetView>
  </sheetViews>
  <sheetFormatPr defaultRowHeight="14.5" x14ac:dyDescent="0.35"/>
  <cols>
    <col min="1" max="1" width="31.08984375" bestFit="1" customWidth="1"/>
    <col min="2" max="2" width="21.6328125" bestFit="1" customWidth="1"/>
    <col min="3" max="3" width="20.7265625" bestFit="1" customWidth="1"/>
    <col min="4" max="4" width="27.7265625" customWidth="1"/>
    <col min="5" max="6" width="17.36328125" customWidth="1"/>
    <col min="7" max="7" width="23.7265625" bestFit="1" customWidth="1"/>
    <col min="8" max="8" width="17.36328125" customWidth="1"/>
    <col min="9" max="9" width="15.6328125" bestFit="1" customWidth="1"/>
    <col min="12" max="12" width="10.7265625" bestFit="1" customWidth="1"/>
    <col min="16" max="16" width="10.7265625" bestFit="1" customWidth="1"/>
    <col min="18" max="18" width="5.26953125" style="65" customWidth="1"/>
    <col min="19" max="19" width="4.1796875" style="66" customWidth="1"/>
    <col min="20" max="20" width="22" customWidth="1"/>
    <col min="21" max="21" width="32.1796875" bestFit="1" customWidth="1"/>
    <col min="22" max="22" width="14.6328125" customWidth="1"/>
    <col min="23" max="23" width="15" customWidth="1"/>
    <col min="24" max="24" width="17.26953125" customWidth="1"/>
    <col min="25" max="25" width="16.26953125" customWidth="1"/>
    <col min="26" max="26" width="14" customWidth="1"/>
  </cols>
  <sheetData>
    <row r="1" spans="1:26" ht="28.5" x14ac:dyDescent="0.65">
      <c r="A1" s="31" t="s">
        <v>35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T1" s="29" t="s">
        <v>130</v>
      </c>
    </row>
    <row r="2" spans="1:26" ht="18.5" x14ac:dyDescent="0.45">
      <c r="A2" s="9">
        <v>2026</v>
      </c>
      <c r="B2" s="82" t="s">
        <v>135</v>
      </c>
      <c r="C2" s="82"/>
      <c r="D2" s="82"/>
      <c r="E2" s="82"/>
      <c r="F2" s="82" t="s">
        <v>136</v>
      </c>
      <c r="G2" s="82"/>
      <c r="H2" s="82"/>
      <c r="I2" s="82"/>
      <c r="J2" s="83" t="s">
        <v>109</v>
      </c>
      <c r="K2" s="83"/>
      <c r="L2" s="83"/>
      <c r="M2" s="83"/>
      <c r="N2" s="83" t="s">
        <v>110</v>
      </c>
      <c r="O2" s="83"/>
      <c r="P2" s="83"/>
      <c r="Q2" s="83"/>
      <c r="T2" s="31" t="s">
        <v>131</v>
      </c>
    </row>
    <row r="3" spans="1:26" x14ac:dyDescent="0.35">
      <c r="A3" s="10" t="s">
        <v>2</v>
      </c>
      <c r="B3" s="60" t="s">
        <v>36</v>
      </c>
      <c r="C3" s="60" t="s">
        <v>37</v>
      </c>
      <c r="D3" s="60" t="s">
        <v>38</v>
      </c>
      <c r="E3" s="60" t="s">
        <v>39</v>
      </c>
      <c r="F3" s="60" t="s">
        <v>40</v>
      </c>
      <c r="G3" s="60" t="s">
        <v>41</v>
      </c>
      <c r="H3" s="60" t="s">
        <v>42</v>
      </c>
      <c r="I3" s="60" t="s">
        <v>43</v>
      </c>
      <c r="J3" s="60" t="s">
        <v>11</v>
      </c>
      <c r="K3" s="60" t="s">
        <v>124</v>
      </c>
      <c r="L3" s="60" t="s">
        <v>125</v>
      </c>
      <c r="M3" s="60" t="s">
        <v>126</v>
      </c>
      <c r="N3" s="60" t="s">
        <v>11</v>
      </c>
      <c r="O3" s="60" t="s">
        <v>124</v>
      </c>
      <c r="P3" s="60" t="s">
        <v>125</v>
      </c>
      <c r="Q3" s="60" t="s">
        <v>126</v>
      </c>
      <c r="T3" s="28" t="s">
        <v>2</v>
      </c>
      <c r="U3" s="28" t="s">
        <v>6</v>
      </c>
      <c r="V3" s="28" t="s">
        <v>91</v>
      </c>
      <c r="W3" s="28" t="s">
        <v>92</v>
      </c>
      <c r="X3" s="28" t="s">
        <v>128</v>
      </c>
      <c r="Y3" s="28" t="s">
        <v>127</v>
      </c>
      <c r="Z3" s="28" t="s">
        <v>129</v>
      </c>
    </row>
    <row r="4" spans="1:26" x14ac:dyDescent="0.35">
      <c r="A4" s="4" t="s">
        <v>5</v>
      </c>
      <c r="B4" s="6">
        <v>4392</v>
      </c>
      <c r="C4" s="6">
        <v>2132</v>
      </c>
      <c r="D4" s="6">
        <v>5148</v>
      </c>
      <c r="E4" s="6">
        <f>12046-(SUM(B4:D4))</f>
        <v>374</v>
      </c>
      <c r="F4" s="6">
        <v>20</v>
      </c>
      <c r="G4" s="6">
        <v>6</v>
      </c>
      <c r="H4" s="6">
        <v>23</v>
      </c>
      <c r="I4" s="6">
        <f>50-(SUM(F4:H4))</f>
        <v>1</v>
      </c>
      <c r="J4" s="6">
        <v>240</v>
      </c>
      <c r="K4" s="6">
        <v>2372</v>
      </c>
      <c r="L4" s="6">
        <v>3</v>
      </c>
      <c r="M4" s="6">
        <f>2645-(SUM(J4:L4))</f>
        <v>30</v>
      </c>
      <c r="N4" s="6">
        <v>0</v>
      </c>
      <c r="O4" s="6">
        <v>0</v>
      </c>
      <c r="P4" s="6">
        <v>0</v>
      </c>
      <c r="Q4" s="6">
        <v>0</v>
      </c>
      <c r="T4" s="84">
        <v>46023</v>
      </c>
      <c r="U4" s="23" t="s">
        <v>8</v>
      </c>
      <c r="V4" s="67">
        <v>819537</v>
      </c>
      <c r="W4" s="67">
        <v>3541</v>
      </c>
      <c r="X4" s="68">
        <f>372+1057+1758</f>
        <v>3187</v>
      </c>
      <c r="Y4">
        <f>99443+102622+94324</f>
        <v>296389</v>
      </c>
      <c r="Z4" s="68">
        <v>716675</v>
      </c>
    </row>
    <row r="5" spans="1:26" x14ac:dyDescent="0.35">
      <c r="A5" s="4" t="s">
        <v>7</v>
      </c>
      <c r="B5" s="6">
        <v>4057</v>
      </c>
      <c r="C5" s="6">
        <v>1948</v>
      </c>
      <c r="D5" s="6">
        <v>4928</v>
      </c>
      <c r="E5" s="6">
        <f>11301-(SUM(B5:D5))</f>
        <v>368</v>
      </c>
      <c r="F5" s="6">
        <v>8</v>
      </c>
      <c r="G5" s="6">
        <v>4</v>
      </c>
      <c r="H5" s="6">
        <v>28</v>
      </c>
      <c r="I5" s="6">
        <f>45-(SUM(F5:H5))</f>
        <v>5</v>
      </c>
      <c r="J5" s="6">
        <v>203</v>
      </c>
      <c r="K5" s="6">
        <v>2068</v>
      </c>
      <c r="L5" s="6">
        <v>0</v>
      </c>
      <c r="M5" s="6">
        <f>2286-(SUM(J5:L5))</f>
        <v>15</v>
      </c>
      <c r="N5" s="6">
        <v>0</v>
      </c>
      <c r="O5" s="6">
        <v>0</v>
      </c>
      <c r="P5" s="6">
        <v>0</v>
      </c>
      <c r="Q5" s="6">
        <v>0</v>
      </c>
      <c r="T5" s="85"/>
      <c r="U5" s="23" t="s">
        <v>10</v>
      </c>
      <c r="V5" s="67">
        <v>723</v>
      </c>
      <c r="W5" s="67">
        <v>1</v>
      </c>
      <c r="X5" s="67">
        <f>V5+W5</f>
        <v>724</v>
      </c>
      <c r="Y5" s="68">
        <v>0</v>
      </c>
      <c r="Z5" s="68">
        <v>720</v>
      </c>
    </row>
    <row r="6" spans="1:26" x14ac:dyDescent="0.35">
      <c r="A6" s="4" t="s">
        <v>9</v>
      </c>
      <c r="B6" s="6">
        <v>5074</v>
      </c>
      <c r="C6" s="6">
        <v>2387</v>
      </c>
      <c r="D6" s="6">
        <v>5887</v>
      </c>
      <c r="E6" s="6">
        <f>13754-(SUM(B6:D6))</f>
        <v>406</v>
      </c>
      <c r="F6" s="6">
        <v>18</v>
      </c>
      <c r="G6" s="6">
        <v>5</v>
      </c>
      <c r="H6" s="6">
        <v>36</v>
      </c>
      <c r="I6" s="6">
        <f>61-(SUM(F6:H6))</f>
        <v>2</v>
      </c>
      <c r="J6" s="6">
        <v>209</v>
      </c>
      <c r="K6" s="6">
        <v>2468</v>
      </c>
      <c r="L6" s="6">
        <v>3</v>
      </c>
      <c r="M6" s="6">
        <f>2702-(SUM(J6:L6))</f>
        <v>22</v>
      </c>
      <c r="N6" s="6">
        <v>0</v>
      </c>
      <c r="O6" s="6">
        <v>0</v>
      </c>
      <c r="P6" s="6">
        <v>0</v>
      </c>
      <c r="Q6" s="6">
        <v>0</v>
      </c>
      <c r="T6" s="85"/>
      <c r="U6" s="25" t="s">
        <v>13</v>
      </c>
      <c r="V6" s="67">
        <v>204</v>
      </c>
      <c r="W6" s="67">
        <v>39</v>
      </c>
      <c r="X6" s="67">
        <f t="shared" ref="X6:X21" si="0">V6+W6</f>
        <v>243</v>
      </c>
      <c r="Y6" s="68">
        <v>0</v>
      </c>
      <c r="Z6" s="68">
        <v>237</v>
      </c>
    </row>
    <row r="7" spans="1:26" x14ac:dyDescent="0.35">
      <c r="A7" s="4" t="s">
        <v>12</v>
      </c>
      <c r="B7" s="6">
        <v>4890</v>
      </c>
      <c r="C7" s="6">
        <v>2279</v>
      </c>
      <c r="D7" s="6">
        <v>5596</v>
      </c>
      <c r="E7" s="6">
        <f>13126-(SUM(B7:D7))</f>
        <v>361</v>
      </c>
      <c r="F7" s="6">
        <v>15</v>
      </c>
      <c r="G7" s="6">
        <v>7</v>
      </c>
      <c r="H7" s="6">
        <v>15</v>
      </c>
      <c r="I7" s="6">
        <f>39-(SUM(F7:H7))</f>
        <v>2</v>
      </c>
      <c r="J7" s="6">
        <v>264</v>
      </c>
      <c r="K7" s="6">
        <v>2738</v>
      </c>
      <c r="L7" s="6">
        <v>1</v>
      </c>
      <c r="M7" s="6">
        <f>3021-(SUM(J7:L7))</f>
        <v>18</v>
      </c>
      <c r="N7" s="6">
        <v>0</v>
      </c>
      <c r="O7" s="6">
        <v>0</v>
      </c>
      <c r="P7" s="6">
        <v>0</v>
      </c>
      <c r="Q7" s="6">
        <v>0</v>
      </c>
      <c r="T7" s="85"/>
      <c r="U7" s="26" t="s">
        <v>15</v>
      </c>
      <c r="V7" s="67">
        <v>384</v>
      </c>
      <c r="W7" s="67">
        <v>0</v>
      </c>
      <c r="X7" s="67">
        <f t="shared" si="0"/>
        <v>384</v>
      </c>
      <c r="Y7" s="68">
        <v>0</v>
      </c>
      <c r="Z7" s="68">
        <v>436</v>
      </c>
    </row>
    <row r="8" spans="1:26" ht="15.5" x14ac:dyDescent="0.35">
      <c r="A8" s="4" t="s">
        <v>14</v>
      </c>
      <c r="B8" s="16"/>
      <c r="C8" s="16"/>
      <c r="D8" s="16"/>
      <c r="E8" s="16"/>
      <c r="F8" s="16"/>
      <c r="G8" s="16"/>
      <c r="H8" s="16"/>
      <c r="I8" s="16"/>
      <c r="J8" s="6"/>
      <c r="K8" s="6"/>
      <c r="L8" s="6"/>
      <c r="M8" s="6"/>
      <c r="N8" s="6"/>
      <c r="O8" s="6"/>
      <c r="P8" s="6"/>
      <c r="Q8" s="6"/>
      <c r="T8" s="85"/>
      <c r="U8" s="27" t="s">
        <v>18</v>
      </c>
      <c r="V8" s="67">
        <v>1</v>
      </c>
      <c r="W8" s="67">
        <v>0</v>
      </c>
      <c r="X8" s="67">
        <f t="shared" si="0"/>
        <v>1</v>
      </c>
      <c r="Y8" s="68">
        <v>0</v>
      </c>
      <c r="Z8" s="68">
        <v>0</v>
      </c>
    </row>
    <row r="9" spans="1:26" x14ac:dyDescent="0.35">
      <c r="A9" s="4" t="s">
        <v>17</v>
      </c>
      <c r="B9" s="16"/>
      <c r="C9" s="16"/>
      <c r="D9" s="16"/>
      <c r="E9" s="16"/>
      <c r="F9" s="16"/>
      <c r="G9" s="16"/>
      <c r="H9" s="16"/>
      <c r="I9" s="16"/>
      <c r="J9" s="6"/>
      <c r="K9" s="6"/>
      <c r="L9" s="6"/>
      <c r="M9" s="6"/>
      <c r="N9" s="6"/>
      <c r="O9" s="6"/>
      <c r="P9" s="6"/>
      <c r="Q9" s="6"/>
      <c r="T9" s="86"/>
      <c r="U9" s="26" t="s">
        <v>20</v>
      </c>
      <c r="V9" s="67">
        <v>3</v>
      </c>
      <c r="W9" s="67">
        <v>15</v>
      </c>
      <c r="X9" s="67">
        <f t="shared" si="0"/>
        <v>18</v>
      </c>
      <c r="Y9" s="68">
        <v>0</v>
      </c>
      <c r="Z9" s="68">
        <v>9</v>
      </c>
    </row>
    <row r="10" spans="1:26" x14ac:dyDescent="0.35">
      <c r="A10" s="4" t="s">
        <v>19</v>
      </c>
      <c r="B10" s="16"/>
      <c r="C10" s="16"/>
      <c r="D10" s="16"/>
      <c r="E10" s="16"/>
      <c r="F10" s="16"/>
      <c r="G10" s="16"/>
      <c r="H10" s="16"/>
      <c r="I10" s="16"/>
      <c r="J10" s="6"/>
      <c r="K10" s="6"/>
      <c r="L10" s="6"/>
      <c r="M10" s="6"/>
      <c r="N10" s="6"/>
      <c r="O10" s="6"/>
      <c r="P10" s="6"/>
      <c r="Q10" s="6"/>
      <c r="T10" s="78">
        <v>46054</v>
      </c>
      <c r="U10" s="23" t="s">
        <v>8</v>
      </c>
      <c r="V10" s="67">
        <v>245694</v>
      </c>
      <c r="W10" s="67">
        <v>1697</v>
      </c>
      <c r="X10" s="67">
        <f>507+437+1928</f>
        <v>2872</v>
      </c>
      <c r="Y10" s="68">
        <f>73959+71930+90406</f>
        <v>236295</v>
      </c>
      <c r="Z10" s="68">
        <v>50724</v>
      </c>
    </row>
    <row r="11" spans="1:26" x14ac:dyDescent="0.35">
      <c r="A11" s="4" t="s">
        <v>21</v>
      </c>
      <c r="B11" s="16"/>
      <c r="C11" s="16"/>
      <c r="D11" s="16"/>
      <c r="E11" s="16"/>
      <c r="F11" s="16"/>
      <c r="G11" s="16"/>
      <c r="H11" s="16"/>
      <c r="I11" s="16"/>
      <c r="J11" s="6"/>
      <c r="K11" s="6"/>
      <c r="L11" s="6"/>
      <c r="M11" s="6"/>
      <c r="N11" s="6"/>
      <c r="O11" s="6"/>
      <c r="P11" s="6"/>
      <c r="Q11" s="6"/>
      <c r="T11" s="78"/>
      <c r="U11" s="23" t="s">
        <v>10</v>
      </c>
      <c r="V11" s="67">
        <v>743</v>
      </c>
      <c r="W11" s="67">
        <v>0</v>
      </c>
      <c r="X11" s="67">
        <f t="shared" si="0"/>
        <v>743</v>
      </c>
      <c r="Y11" s="68">
        <v>0</v>
      </c>
      <c r="Z11" s="68">
        <f t="shared" ref="Z11" si="1">SUM(V11:Y11)</f>
        <v>1486</v>
      </c>
    </row>
    <row r="12" spans="1:26" x14ac:dyDescent="0.35">
      <c r="A12" s="4" t="s">
        <v>22</v>
      </c>
      <c r="B12" s="16"/>
      <c r="C12" s="16"/>
      <c r="D12" s="16"/>
      <c r="E12" s="16"/>
      <c r="F12" s="16"/>
      <c r="G12" s="16"/>
      <c r="H12" s="16"/>
      <c r="I12" s="16"/>
      <c r="J12" s="6"/>
      <c r="K12" s="6"/>
      <c r="L12" s="6"/>
      <c r="M12" s="6"/>
      <c r="N12" s="6"/>
      <c r="O12" s="6"/>
      <c r="P12" s="6"/>
      <c r="Q12" s="6"/>
      <c r="T12" s="78"/>
      <c r="U12" s="25" t="s">
        <v>13</v>
      </c>
      <c r="V12" s="67">
        <v>144</v>
      </c>
      <c r="W12" s="67">
        <v>43</v>
      </c>
      <c r="X12" s="67">
        <f t="shared" si="0"/>
        <v>187</v>
      </c>
      <c r="Y12" s="68">
        <v>0</v>
      </c>
      <c r="Z12" s="67">
        <v>182</v>
      </c>
    </row>
    <row r="13" spans="1:26" x14ac:dyDescent="0.35">
      <c r="A13" s="4" t="s">
        <v>23</v>
      </c>
      <c r="B13" s="16"/>
      <c r="C13" s="16"/>
      <c r="D13" s="16"/>
      <c r="E13" s="16"/>
      <c r="F13" s="16"/>
      <c r="G13" s="16"/>
      <c r="H13" s="16"/>
      <c r="I13" s="16"/>
      <c r="J13" s="6"/>
      <c r="K13" s="6"/>
      <c r="L13" s="6"/>
      <c r="M13" s="6"/>
      <c r="N13" s="6"/>
      <c r="O13" s="6"/>
      <c r="P13" s="6"/>
      <c r="Q13" s="6"/>
      <c r="T13" s="78"/>
      <c r="U13" s="26" t="s">
        <v>15</v>
      </c>
      <c r="V13" s="67">
        <v>337</v>
      </c>
      <c r="W13" s="67">
        <v>5</v>
      </c>
      <c r="X13" s="67">
        <f t="shared" si="0"/>
        <v>342</v>
      </c>
      <c r="Y13" s="68">
        <v>0</v>
      </c>
      <c r="Z13" s="67">
        <v>290</v>
      </c>
    </row>
    <row r="14" spans="1:26" ht="15.5" x14ac:dyDescent="0.35">
      <c r="A14" s="4" t="s">
        <v>24</v>
      </c>
      <c r="B14" s="16"/>
      <c r="C14" s="16"/>
      <c r="D14" s="16"/>
      <c r="E14" s="16"/>
      <c r="F14" s="16"/>
      <c r="G14" s="16"/>
      <c r="H14" s="16"/>
      <c r="I14" s="16"/>
      <c r="J14" s="6"/>
      <c r="K14" s="6"/>
      <c r="L14" s="6"/>
      <c r="M14" s="6"/>
      <c r="N14" s="6"/>
      <c r="O14" s="6"/>
      <c r="P14" s="6"/>
      <c r="Q14" s="6"/>
      <c r="T14" s="78"/>
      <c r="U14" s="27" t="s">
        <v>18</v>
      </c>
      <c r="V14" s="67">
        <v>1</v>
      </c>
      <c r="W14" s="67">
        <v>0</v>
      </c>
      <c r="X14" s="67">
        <f t="shared" si="0"/>
        <v>1</v>
      </c>
      <c r="Y14" s="68">
        <v>0</v>
      </c>
      <c r="Z14" s="67">
        <v>1</v>
      </c>
    </row>
    <row r="15" spans="1:26" x14ac:dyDescent="0.35">
      <c r="A15" s="4" t="s">
        <v>25</v>
      </c>
      <c r="B15" s="16"/>
      <c r="C15" s="16"/>
      <c r="D15" s="16"/>
      <c r="E15" s="16"/>
      <c r="F15" s="16"/>
      <c r="G15" s="16"/>
      <c r="H15" s="16"/>
      <c r="I15" s="16"/>
      <c r="J15" s="6"/>
      <c r="K15" s="6"/>
      <c r="L15" s="6"/>
      <c r="M15" s="6"/>
      <c r="N15" s="6"/>
      <c r="O15" s="6"/>
      <c r="P15" s="6"/>
      <c r="Q15" s="6"/>
      <c r="T15" s="78"/>
      <c r="U15" s="26" t="s">
        <v>20</v>
      </c>
      <c r="V15" s="67">
        <v>2</v>
      </c>
      <c r="W15" s="67">
        <v>6</v>
      </c>
      <c r="X15" s="67">
        <f t="shared" si="0"/>
        <v>8</v>
      </c>
      <c r="Y15" s="68">
        <v>0</v>
      </c>
      <c r="Z15" s="67">
        <v>8</v>
      </c>
    </row>
    <row r="16" spans="1:26" x14ac:dyDescent="0.35">
      <c r="T16" s="78">
        <v>46082</v>
      </c>
      <c r="U16" s="23" t="s">
        <v>8</v>
      </c>
      <c r="V16" s="68">
        <v>130403</v>
      </c>
      <c r="W16" s="68">
        <v>1213</v>
      </c>
      <c r="X16" s="67">
        <f>2853+4600+7208</f>
        <v>14661</v>
      </c>
      <c r="Y16" s="68">
        <f>15227+18130+19053</f>
        <v>52410</v>
      </c>
      <c r="Z16" s="67">
        <v>134274</v>
      </c>
    </row>
    <row r="17" spans="1:26" x14ac:dyDescent="0.35">
      <c r="T17" s="78"/>
      <c r="U17" s="23" t="s">
        <v>10</v>
      </c>
      <c r="V17" s="68">
        <v>594</v>
      </c>
      <c r="W17" s="68">
        <v>2</v>
      </c>
      <c r="X17" s="67">
        <f t="shared" si="0"/>
        <v>596</v>
      </c>
      <c r="Y17" s="68">
        <v>0</v>
      </c>
      <c r="Z17" s="68">
        <v>595</v>
      </c>
    </row>
    <row r="18" spans="1:26" ht="18.5" x14ac:dyDescent="0.45">
      <c r="A18" s="31" t="s">
        <v>26</v>
      </c>
      <c r="B18" s="63"/>
      <c r="C18" s="63"/>
      <c r="D18" s="63"/>
      <c r="E18" s="63"/>
      <c r="F18" s="63"/>
      <c r="G18" s="63"/>
      <c r="T18" s="78"/>
      <c r="U18" s="25" t="s">
        <v>13</v>
      </c>
      <c r="V18" s="68">
        <v>350</v>
      </c>
      <c r="W18" s="68">
        <v>13</v>
      </c>
      <c r="X18" s="67">
        <f t="shared" si="0"/>
        <v>363</v>
      </c>
      <c r="Y18" s="68">
        <v>0</v>
      </c>
      <c r="Z18" s="68">
        <v>363</v>
      </c>
    </row>
    <row r="19" spans="1:26" x14ac:dyDescent="0.35">
      <c r="A19" s="9">
        <v>2026</v>
      </c>
      <c r="B19" s="79" t="s">
        <v>27</v>
      </c>
      <c r="C19" s="80"/>
      <c r="D19" s="80"/>
      <c r="E19" s="81" t="s">
        <v>28</v>
      </c>
      <c r="F19" s="81"/>
      <c r="G19" s="81"/>
      <c r="T19" s="78"/>
      <c r="U19" s="26" t="s">
        <v>15</v>
      </c>
      <c r="V19" s="68">
        <v>154</v>
      </c>
      <c r="W19" s="68">
        <v>0</v>
      </c>
      <c r="X19" s="67">
        <f t="shared" si="0"/>
        <v>154</v>
      </c>
      <c r="Y19" s="68">
        <v>0</v>
      </c>
      <c r="Z19" s="68">
        <v>154</v>
      </c>
    </row>
    <row r="20" spans="1:26" ht="15.5" x14ac:dyDescent="0.35">
      <c r="A20" s="10" t="s">
        <v>2</v>
      </c>
      <c r="B20" s="11" t="s">
        <v>29</v>
      </c>
      <c r="C20" s="12" t="s">
        <v>30</v>
      </c>
      <c r="D20" s="12" t="s">
        <v>31</v>
      </c>
      <c r="E20" s="13" t="s">
        <v>32</v>
      </c>
      <c r="F20" s="13" t="s">
        <v>33</v>
      </c>
      <c r="G20" s="13" t="s">
        <v>34</v>
      </c>
      <c r="T20" s="78"/>
      <c r="U20" s="27" t="s">
        <v>18</v>
      </c>
      <c r="V20" s="68">
        <v>1</v>
      </c>
      <c r="W20" s="68">
        <v>0</v>
      </c>
      <c r="X20" s="67">
        <f t="shared" si="0"/>
        <v>1</v>
      </c>
      <c r="Y20" s="68">
        <v>0</v>
      </c>
      <c r="Z20" s="68">
        <v>1</v>
      </c>
    </row>
    <row r="21" spans="1:26" x14ac:dyDescent="0.35">
      <c r="A21" s="14" t="s">
        <v>5</v>
      </c>
      <c r="B21" s="6">
        <f>SUM(B4:E4)</f>
        <v>12046</v>
      </c>
      <c r="C21" s="6">
        <f>SUM(F4:I4)</f>
        <v>50</v>
      </c>
      <c r="D21" s="61">
        <v>12503</v>
      </c>
      <c r="E21" s="6">
        <f>SUM(J4:M4)</f>
        <v>2645</v>
      </c>
      <c r="F21" s="6">
        <f>SUM(N4:Q4)</f>
        <v>0</v>
      </c>
      <c r="G21" s="61">
        <v>2747</v>
      </c>
      <c r="T21" s="78"/>
      <c r="U21" s="26" t="s">
        <v>20</v>
      </c>
      <c r="V21" s="68">
        <v>0</v>
      </c>
      <c r="W21" s="68">
        <v>0</v>
      </c>
      <c r="X21" s="67">
        <f t="shared" si="0"/>
        <v>0</v>
      </c>
      <c r="Y21" s="68">
        <v>0</v>
      </c>
      <c r="Z21" s="68">
        <v>0</v>
      </c>
    </row>
    <row r="22" spans="1:26" x14ac:dyDescent="0.35">
      <c r="A22" s="15" t="s">
        <v>7</v>
      </c>
      <c r="B22" s="6">
        <f>SUM(B5:E5)</f>
        <v>11301</v>
      </c>
      <c r="C22" s="6">
        <f>SUM(F5:I5)</f>
        <v>45</v>
      </c>
      <c r="D22" s="61">
        <v>11322</v>
      </c>
      <c r="E22" s="6">
        <f>SUM(J5:M5)</f>
        <v>2286</v>
      </c>
      <c r="F22" s="6">
        <f>SUM(N5:Q5)</f>
        <v>0</v>
      </c>
      <c r="G22" s="61">
        <v>2280</v>
      </c>
      <c r="T22" s="78">
        <v>46113</v>
      </c>
      <c r="U22" s="23" t="s">
        <v>8</v>
      </c>
      <c r="V22" s="16">
        <v>4016</v>
      </c>
      <c r="W22" s="16">
        <f>X83</f>
        <v>294</v>
      </c>
      <c r="X22" s="16">
        <f>V22+W22</f>
        <v>4310</v>
      </c>
      <c r="Y22" s="16">
        <v>0</v>
      </c>
      <c r="Z22" s="16">
        <v>0</v>
      </c>
    </row>
    <row r="23" spans="1:26" x14ac:dyDescent="0.35">
      <c r="A23" s="15" t="s">
        <v>9</v>
      </c>
      <c r="B23" s="6">
        <f>SUM(B6:E6)</f>
        <v>13754</v>
      </c>
      <c r="C23" s="6">
        <f>SUM(F6:I6)</f>
        <v>61</v>
      </c>
      <c r="D23" s="61">
        <v>13440</v>
      </c>
      <c r="E23" s="6">
        <f>SUM(J6:M6)</f>
        <v>2702</v>
      </c>
      <c r="F23" s="6">
        <f>SUM(N6:Q6)</f>
        <v>0</v>
      </c>
      <c r="G23" s="61">
        <v>2617</v>
      </c>
      <c r="T23" s="78"/>
      <c r="U23" s="23" t="s">
        <v>10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</row>
    <row r="24" spans="1:26" x14ac:dyDescent="0.35">
      <c r="A24" s="15" t="s">
        <v>12</v>
      </c>
      <c r="B24" s="6">
        <f>SUM(B7:E7)</f>
        <v>13126</v>
      </c>
      <c r="C24" s="6">
        <f>SUM(F7:I7)</f>
        <v>39</v>
      </c>
      <c r="D24" s="61">
        <v>13160</v>
      </c>
      <c r="E24" s="6">
        <f>SUM(J7:M7)</f>
        <v>3021</v>
      </c>
      <c r="F24" s="6">
        <f>SUM(N7:Q7)</f>
        <v>0</v>
      </c>
      <c r="G24" s="6">
        <v>3021</v>
      </c>
      <c r="T24" s="78"/>
      <c r="U24" s="25" t="s">
        <v>13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</row>
    <row r="25" spans="1:26" x14ac:dyDescent="0.35">
      <c r="A25" s="15" t="s">
        <v>14</v>
      </c>
      <c r="B25" s="16"/>
      <c r="C25" s="16"/>
      <c r="D25" s="16"/>
      <c r="E25" s="16"/>
      <c r="F25" s="16"/>
      <c r="G25" s="16"/>
      <c r="T25" s="78"/>
      <c r="U25" s="26" t="s">
        <v>15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</row>
    <row r="26" spans="1:26" ht="15.5" x14ac:dyDescent="0.35">
      <c r="A26" s="15" t="s">
        <v>17</v>
      </c>
      <c r="B26" s="16"/>
      <c r="C26" s="16"/>
      <c r="D26" s="16"/>
      <c r="E26" s="16"/>
      <c r="F26" s="16"/>
      <c r="G26" s="16"/>
      <c r="T26" s="78"/>
      <c r="U26" s="27" t="s">
        <v>18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</row>
    <row r="27" spans="1:26" x14ac:dyDescent="0.35">
      <c r="A27" s="15" t="s">
        <v>19</v>
      </c>
      <c r="B27" s="16"/>
      <c r="C27" s="16"/>
      <c r="D27" s="16"/>
      <c r="E27" s="16"/>
      <c r="F27" s="16"/>
      <c r="G27" s="16"/>
      <c r="T27" s="78"/>
      <c r="U27" s="26" t="s">
        <v>20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</row>
    <row r="28" spans="1:26" x14ac:dyDescent="0.35">
      <c r="A28" s="15" t="s">
        <v>21</v>
      </c>
      <c r="B28" s="16"/>
      <c r="C28" s="16"/>
      <c r="D28" s="16"/>
      <c r="E28" s="16"/>
      <c r="F28" s="16"/>
      <c r="G28" s="16"/>
      <c r="T28" s="78">
        <v>46143</v>
      </c>
      <c r="U28" s="23" t="s">
        <v>8</v>
      </c>
      <c r="V28" s="16"/>
      <c r="W28" s="16"/>
      <c r="X28" s="16"/>
      <c r="Y28" s="16"/>
      <c r="Z28" s="16"/>
    </row>
    <row r="29" spans="1:26" x14ac:dyDescent="0.35">
      <c r="A29" s="15" t="s">
        <v>22</v>
      </c>
      <c r="B29" s="16"/>
      <c r="C29" s="16"/>
      <c r="D29" s="16"/>
      <c r="E29" s="16"/>
      <c r="F29" s="16"/>
      <c r="G29" s="16"/>
      <c r="T29" s="78"/>
      <c r="U29" s="23" t="s">
        <v>10</v>
      </c>
      <c r="V29" s="16"/>
      <c r="W29" s="16"/>
      <c r="X29" s="16"/>
      <c r="Y29" s="16"/>
      <c r="Z29" s="16"/>
    </row>
    <row r="30" spans="1:26" x14ac:dyDescent="0.35">
      <c r="A30" s="15" t="s">
        <v>23</v>
      </c>
      <c r="B30" s="16"/>
      <c r="C30" s="16"/>
      <c r="D30" s="16"/>
      <c r="E30" s="16"/>
      <c r="F30" s="16"/>
      <c r="G30" s="16"/>
      <c r="T30" s="78"/>
      <c r="U30" s="25" t="s">
        <v>13</v>
      </c>
      <c r="V30" s="16"/>
      <c r="W30" s="16"/>
      <c r="X30" s="16"/>
      <c r="Y30" s="16"/>
      <c r="Z30" s="16"/>
    </row>
    <row r="31" spans="1:26" x14ac:dyDescent="0.35">
      <c r="A31" s="15" t="s">
        <v>24</v>
      </c>
      <c r="B31" s="16"/>
      <c r="C31" s="16"/>
      <c r="D31" s="16"/>
      <c r="E31" s="16"/>
      <c r="F31" s="16"/>
      <c r="G31" s="16"/>
      <c r="T31" s="78"/>
      <c r="U31" s="26" t="s">
        <v>15</v>
      </c>
      <c r="V31" s="16"/>
      <c r="W31" s="16"/>
      <c r="X31" s="16"/>
      <c r="Y31" s="16"/>
      <c r="Z31" s="16"/>
    </row>
    <row r="32" spans="1:26" ht="15.5" x14ac:dyDescent="0.35">
      <c r="A32" s="15" t="s">
        <v>25</v>
      </c>
      <c r="B32" s="16"/>
      <c r="C32" s="16"/>
      <c r="D32" s="16"/>
      <c r="E32" s="16"/>
      <c r="F32" s="16"/>
      <c r="G32" s="16"/>
      <c r="T32" s="78"/>
      <c r="U32" s="27" t="s">
        <v>18</v>
      </c>
      <c r="V32" s="16"/>
      <c r="W32" s="16"/>
      <c r="X32" s="16"/>
      <c r="Y32" s="16"/>
      <c r="Z32" s="16"/>
    </row>
    <row r="33" spans="1:26" x14ac:dyDescent="0.35">
      <c r="T33" s="78"/>
      <c r="U33" s="26" t="s">
        <v>20</v>
      </c>
      <c r="V33" s="16"/>
      <c r="W33" s="16"/>
      <c r="X33" s="16"/>
      <c r="Y33" s="16"/>
      <c r="Z33" s="16"/>
    </row>
    <row r="34" spans="1:26" x14ac:dyDescent="0.35">
      <c r="T34" s="78">
        <v>46174</v>
      </c>
      <c r="U34" s="23" t="s">
        <v>8</v>
      </c>
      <c r="V34" s="16"/>
      <c r="W34" s="16"/>
      <c r="X34" s="16"/>
      <c r="Y34" s="16"/>
      <c r="Z34" s="16"/>
    </row>
    <row r="35" spans="1:26" ht="18.5" x14ac:dyDescent="0.45">
      <c r="A35" s="31" t="s">
        <v>0</v>
      </c>
      <c r="B35" s="62"/>
      <c r="C35" s="62"/>
      <c r="T35" s="78"/>
      <c r="U35" s="23" t="s">
        <v>10</v>
      </c>
      <c r="V35" s="16"/>
      <c r="W35" s="16"/>
      <c r="X35" s="16"/>
      <c r="Y35" s="16"/>
      <c r="Z35" s="16"/>
    </row>
    <row r="36" spans="1:26" x14ac:dyDescent="0.35">
      <c r="A36" s="1" t="s">
        <v>2</v>
      </c>
      <c r="B36" s="2" t="s">
        <v>3</v>
      </c>
      <c r="C36" s="3" t="s">
        <v>4</v>
      </c>
      <c r="T36" s="78"/>
      <c r="U36" s="25" t="s">
        <v>13</v>
      </c>
      <c r="V36" s="16"/>
      <c r="W36" s="16"/>
      <c r="X36" s="16"/>
      <c r="Y36" s="16"/>
      <c r="Z36" s="16"/>
    </row>
    <row r="37" spans="1:26" x14ac:dyDescent="0.35">
      <c r="A37" s="4" t="s">
        <v>5</v>
      </c>
      <c r="B37" s="5">
        <f>D21+G21</f>
        <v>15250</v>
      </c>
      <c r="C37" s="6">
        <f>B21+C21+E21+F21</f>
        <v>14741</v>
      </c>
      <c r="T37" s="78"/>
      <c r="U37" s="26" t="s">
        <v>15</v>
      </c>
      <c r="V37" s="16"/>
      <c r="W37" s="16"/>
      <c r="X37" s="16"/>
      <c r="Y37" s="16"/>
      <c r="Z37" s="16"/>
    </row>
    <row r="38" spans="1:26" ht="15.5" x14ac:dyDescent="0.35">
      <c r="A38" s="4" t="s">
        <v>7</v>
      </c>
      <c r="B38" s="5">
        <f>D22+G22</f>
        <v>13602</v>
      </c>
      <c r="C38" s="6">
        <f>B22+C22+E22+F22</f>
        <v>13632</v>
      </c>
      <c r="T38" s="78"/>
      <c r="U38" s="27" t="s">
        <v>18</v>
      </c>
      <c r="V38" s="16"/>
      <c r="W38" s="16"/>
      <c r="X38" s="16"/>
      <c r="Y38" s="16"/>
      <c r="Z38" s="16"/>
    </row>
    <row r="39" spans="1:26" x14ac:dyDescent="0.35">
      <c r="A39" s="4" t="s">
        <v>9</v>
      </c>
      <c r="B39" s="5">
        <f>D23+G23</f>
        <v>16057</v>
      </c>
      <c r="C39" s="6">
        <f>B23+C23+E23+F23</f>
        <v>16517</v>
      </c>
      <c r="T39" s="78"/>
      <c r="U39" s="26" t="s">
        <v>20</v>
      </c>
      <c r="V39" s="16"/>
      <c r="W39" s="16"/>
      <c r="X39" s="16"/>
      <c r="Y39" s="16"/>
      <c r="Z39" s="16"/>
    </row>
    <row r="40" spans="1:26" x14ac:dyDescent="0.35">
      <c r="A40" s="4" t="s">
        <v>12</v>
      </c>
      <c r="B40" s="5">
        <f>D24+G24</f>
        <v>16181</v>
      </c>
      <c r="C40" s="6">
        <f>B24+C24+E24+F24</f>
        <v>16186</v>
      </c>
      <c r="T40" s="78">
        <v>46204</v>
      </c>
      <c r="U40" s="23" t="s">
        <v>8</v>
      </c>
      <c r="V40" s="16"/>
      <c r="W40" s="16"/>
      <c r="X40" s="16"/>
      <c r="Y40" s="16"/>
      <c r="Z40" s="16"/>
    </row>
    <row r="41" spans="1:26" x14ac:dyDescent="0.35">
      <c r="A41" s="4" t="s">
        <v>14</v>
      </c>
      <c r="B41" s="7"/>
      <c r="C41" s="8"/>
      <c r="T41" s="78"/>
      <c r="U41" s="23" t="s">
        <v>10</v>
      </c>
      <c r="V41" s="16"/>
      <c r="W41" s="16"/>
      <c r="X41" s="16"/>
      <c r="Y41" s="16"/>
      <c r="Z41" s="16"/>
    </row>
    <row r="42" spans="1:26" x14ac:dyDescent="0.35">
      <c r="A42" s="4" t="s">
        <v>17</v>
      </c>
      <c r="B42" s="7"/>
      <c r="C42" s="8"/>
      <c r="T42" s="78"/>
      <c r="U42" s="25" t="s">
        <v>13</v>
      </c>
      <c r="V42" s="16"/>
      <c r="W42" s="16"/>
      <c r="X42" s="16"/>
      <c r="Y42" s="16"/>
      <c r="Z42" s="16"/>
    </row>
    <row r="43" spans="1:26" x14ac:dyDescent="0.35">
      <c r="A43" s="4" t="s">
        <v>19</v>
      </c>
      <c r="B43" s="7"/>
      <c r="C43" s="8"/>
      <c r="T43" s="78"/>
      <c r="U43" s="26" t="s">
        <v>15</v>
      </c>
      <c r="V43" s="16"/>
      <c r="W43" s="16"/>
      <c r="X43" s="16"/>
      <c r="Y43" s="16"/>
      <c r="Z43" s="16"/>
    </row>
    <row r="44" spans="1:26" ht="15.5" x14ac:dyDescent="0.35">
      <c r="A44" s="4" t="s">
        <v>21</v>
      </c>
      <c r="B44" s="7"/>
      <c r="C44" s="8"/>
      <c r="T44" s="78"/>
      <c r="U44" s="27" t="s">
        <v>18</v>
      </c>
      <c r="V44" s="16"/>
      <c r="W44" s="16"/>
      <c r="X44" s="16"/>
      <c r="Y44" s="16"/>
      <c r="Z44" s="16"/>
    </row>
    <row r="45" spans="1:26" x14ac:dyDescent="0.35">
      <c r="A45" s="4" t="s">
        <v>22</v>
      </c>
      <c r="B45" s="7"/>
      <c r="C45" s="8"/>
      <c r="T45" s="78"/>
      <c r="U45" s="26" t="s">
        <v>20</v>
      </c>
      <c r="V45" s="16"/>
      <c r="W45" s="16"/>
      <c r="X45" s="16"/>
      <c r="Y45" s="16"/>
      <c r="Z45" s="16"/>
    </row>
    <row r="46" spans="1:26" x14ac:dyDescent="0.35">
      <c r="A46" s="4" t="s">
        <v>23</v>
      </c>
      <c r="B46" s="7"/>
      <c r="C46" s="8"/>
      <c r="T46" s="78">
        <v>46235</v>
      </c>
      <c r="U46" s="23" t="s">
        <v>8</v>
      </c>
      <c r="V46" s="16"/>
      <c r="W46" s="16"/>
      <c r="X46" s="16"/>
      <c r="Y46" s="16"/>
      <c r="Z46" s="16"/>
    </row>
    <row r="47" spans="1:26" x14ac:dyDescent="0.35">
      <c r="A47" s="4" t="s">
        <v>24</v>
      </c>
      <c r="B47" s="7"/>
      <c r="C47" s="8"/>
      <c r="T47" s="78"/>
      <c r="U47" s="23" t="s">
        <v>10</v>
      </c>
      <c r="V47" s="16"/>
      <c r="W47" s="16"/>
      <c r="X47" s="16"/>
      <c r="Y47" s="16"/>
      <c r="Z47" s="16"/>
    </row>
    <row r="48" spans="1:26" x14ac:dyDescent="0.35">
      <c r="A48" s="4" t="s">
        <v>25</v>
      </c>
      <c r="B48" s="7"/>
      <c r="C48" s="8"/>
      <c r="T48" s="78"/>
      <c r="U48" s="25" t="s">
        <v>13</v>
      </c>
      <c r="V48" s="16"/>
      <c r="W48" s="16"/>
      <c r="X48" s="16"/>
      <c r="Y48" s="16"/>
      <c r="Z48" s="16"/>
    </row>
    <row r="49" spans="20:26" x14ac:dyDescent="0.35">
      <c r="T49" s="78"/>
      <c r="U49" s="26" t="s">
        <v>15</v>
      </c>
      <c r="V49" s="16"/>
      <c r="W49" s="16"/>
      <c r="X49" s="16"/>
      <c r="Y49" s="16"/>
      <c r="Z49" s="16"/>
    </row>
    <row r="50" spans="20:26" ht="15.5" x14ac:dyDescent="0.35">
      <c r="T50" s="78"/>
      <c r="U50" s="27" t="s">
        <v>18</v>
      </c>
      <c r="V50" s="16"/>
      <c r="W50" s="16"/>
      <c r="X50" s="16"/>
      <c r="Y50" s="16"/>
      <c r="Z50" s="16"/>
    </row>
    <row r="51" spans="20:26" x14ac:dyDescent="0.35">
      <c r="T51" s="78"/>
      <c r="U51" s="26" t="s">
        <v>20</v>
      </c>
      <c r="V51" s="16"/>
      <c r="W51" s="16"/>
      <c r="X51" s="16"/>
      <c r="Y51" s="16"/>
      <c r="Z51" s="16"/>
    </row>
    <row r="52" spans="20:26" x14ac:dyDescent="0.35">
      <c r="T52" s="78">
        <v>46266</v>
      </c>
      <c r="U52" s="23" t="s">
        <v>8</v>
      </c>
      <c r="V52" s="16"/>
      <c r="W52" s="16"/>
      <c r="X52" s="16"/>
      <c r="Y52" s="16"/>
      <c r="Z52" s="16"/>
    </row>
    <row r="53" spans="20:26" x14ac:dyDescent="0.35">
      <c r="T53" s="78"/>
      <c r="U53" s="23" t="s">
        <v>10</v>
      </c>
      <c r="V53" s="16"/>
      <c r="W53" s="16"/>
      <c r="X53" s="16"/>
      <c r="Y53" s="16"/>
      <c r="Z53" s="16"/>
    </row>
    <row r="54" spans="20:26" x14ac:dyDescent="0.35">
      <c r="T54" s="78"/>
      <c r="U54" s="25" t="s">
        <v>13</v>
      </c>
      <c r="V54" s="16"/>
      <c r="W54" s="16"/>
      <c r="X54" s="16"/>
      <c r="Y54" s="16"/>
      <c r="Z54" s="16"/>
    </row>
    <row r="55" spans="20:26" x14ac:dyDescent="0.35">
      <c r="T55" s="78"/>
      <c r="U55" s="26" t="s">
        <v>15</v>
      </c>
      <c r="V55" s="16"/>
      <c r="W55" s="16"/>
      <c r="X55" s="16"/>
      <c r="Y55" s="16"/>
      <c r="Z55" s="16"/>
    </row>
    <row r="56" spans="20:26" ht="15.5" x14ac:dyDescent="0.35">
      <c r="T56" s="78"/>
      <c r="U56" s="27" t="s">
        <v>18</v>
      </c>
      <c r="V56" s="16"/>
      <c r="W56" s="16"/>
      <c r="X56" s="16"/>
      <c r="Y56" s="16"/>
      <c r="Z56" s="16"/>
    </row>
    <row r="57" spans="20:26" x14ac:dyDescent="0.35">
      <c r="T57" s="78"/>
      <c r="U57" s="26" t="s">
        <v>20</v>
      </c>
      <c r="V57" s="16"/>
      <c r="W57" s="16"/>
      <c r="X57" s="16"/>
      <c r="Y57" s="16"/>
      <c r="Z57" s="16"/>
    </row>
    <row r="58" spans="20:26" x14ac:dyDescent="0.35">
      <c r="T58" s="78">
        <v>46296</v>
      </c>
      <c r="U58" s="23" t="s">
        <v>8</v>
      </c>
      <c r="V58" s="16"/>
      <c r="W58" s="16"/>
      <c r="X58" s="16"/>
      <c r="Y58" s="16"/>
      <c r="Z58" s="16"/>
    </row>
    <row r="59" spans="20:26" x14ac:dyDescent="0.35">
      <c r="T59" s="78"/>
      <c r="U59" s="23" t="s">
        <v>10</v>
      </c>
      <c r="V59" s="16"/>
      <c r="W59" s="16"/>
      <c r="X59" s="16"/>
      <c r="Y59" s="16"/>
      <c r="Z59" s="16"/>
    </row>
    <row r="60" spans="20:26" x14ac:dyDescent="0.35">
      <c r="T60" s="78"/>
      <c r="U60" s="25" t="s">
        <v>13</v>
      </c>
      <c r="V60" s="16"/>
      <c r="W60" s="16"/>
      <c r="X60" s="16"/>
      <c r="Y60" s="16"/>
      <c r="Z60" s="16"/>
    </row>
    <row r="61" spans="20:26" x14ac:dyDescent="0.35">
      <c r="T61" s="78"/>
      <c r="U61" s="26" t="s">
        <v>15</v>
      </c>
      <c r="V61" s="16"/>
      <c r="W61" s="16"/>
      <c r="X61" s="16"/>
      <c r="Y61" s="16"/>
      <c r="Z61" s="16"/>
    </row>
    <row r="62" spans="20:26" ht="15.5" x14ac:dyDescent="0.35">
      <c r="T62" s="78"/>
      <c r="U62" s="27" t="s">
        <v>18</v>
      </c>
      <c r="V62" s="16"/>
      <c r="W62" s="16"/>
      <c r="X62" s="16"/>
      <c r="Y62" s="16"/>
      <c r="Z62" s="16"/>
    </row>
    <row r="63" spans="20:26" x14ac:dyDescent="0.35">
      <c r="T63" s="78"/>
      <c r="U63" s="26" t="s">
        <v>20</v>
      </c>
      <c r="V63" s="16"/>
      <c r="W63" s="16"/>
      <c r="X63" s="16"/>
      <c r="Y63" s="16"/>
      <c r="Z63" s="16"/>
    </row>
    <row r="64" spans="20:26" x14ac:dyDescent="0.35">
      <c r="T64" s="78">
        <v>46327</v>
      </c>
      <c r="U64" s="23" t="s">
        <v>8</v>
      </c>
      <c r="V64" s="16"/>
      <c r="W64" s="16"/>
      <c r="X64" s="16"/>
      <c r="Y64" s="16"/>
      <c r="Z64" s="16"/>
    </row>
    <row r="65" spans="20:26" x14ac:dyDescent="0.35">
      <c r="T65" s="78"/>
      <c r="U65" s="23" t="s">
        <v>10</v>
      </c>
      <c r="V65" s="16"/>
      <c r="W65" s="16"/>
      <c r="X65" s="16"/>
      <c r="Y65" s="16"/>
      <c r="Z65" s="16"/>
    </row>
    <row r="66" spans="20:26" x14ac:dyDescent="0.35">
      <c r="T66" s="78"/>
      <c r="U66" s="25" t="s">
        <v>13</v>
      </c>
      <c r="V66" s="16"/>
      <c r="W66" s="16"/>
      <c r="X66" s="16"/>
      <c r="Y66" s="16"/>
      <c r="Z66" s="16"/>
    </row>
    <row r="67" spans="20:26" x14ac:dyDescent="0.35">
      <c r="T67" s="78"/>
      <c r="U67" s="26" t="s">
        <v>15</v>
      </c>
      <c r="V67" s="16"/>
      <c r="W67" s="16"/>
      <c r="X67" s="16"/>
      <c r="Y67" s="16"/>
      <c r="Z67" s="16"/>
    </row>
    <row r="68" spans="20:26" ht="15.5" x14ac:dyDescent="0.35">
      <c r="T68" s="78"/>
      <c r="U68" s="27" t="s">
        <v>18</v>
      </c>
      <c r="V68" s="16"/>
      <c r="W68" s="16"/>
      <c r="X68" s="16"/>
      <c r="Y68" s="16"/>
      <c r="Z68" s="16"/>
    </row>
    <row r="69" spans="20:26" x14ac:dyDescent="0.35">
      <c r="T69" s="78"/>
      <c r="U69" s="26" t="s">
        <v>20</v>
      </c>
      <c r="V69" s="16"/>
      <c r="W69" s="16"/>
      <c r="X69" s="16"/>
      <c r="Y69" s="16"/>
      <c r="Z69" s="16"/>
    </row>
    <row r="70" spans="20:26" x14ac:dyDescent="0.35">
      <c r="T70" s="78">
        <v>46357</v>
      </c>
      <c r="U70" s="23" t="s">
        <v>8</v>
      </c>
      <c r="V70" s="16"/>
      <c r="W70" s="16"/>
      <c r="X70" s="16"/>
      <c r="Y70" s="16"/>
      <c r="Z70" s="16"/>
    </row>
    <row r="71" spans="20:26" x14ac:dyDescent="0.35">
      <c r="T71" s="78"/>
      <c r="U71" s="23" t="s">
        <v>10</v>
      </c>
      <c r="V71" s="16"/>
      <c r="W71" s="16"/>
      <c r="X71" s="16"/>
      <c r="Y71" s="16"/>
      <c r="Z71" s="16"/>
    </row>
    <row r="72" spans="20:26" x14ac:dyDescent="0.35">
      <c r="T72" s="78"/>
      <c r="U72" s="25" t="s">
        <v>13</v>
      </c>
      <c r="V72" s="16"/>
      <c r="W72" s="16"/>
      <c r="X72" s="16"/>
      <c r="Y72" s="16"/>
      <c r="Z72" s="16"/>
    </row>
    <row r="73" spans="20:26" x14ac:dyDescent="0.35">
      <c r="T73" s="78"/>
      <c r="U73" s="26" t="s">
        <v>15</v>
      </c>
      <c r="V73" s="16"/>
      <c r="W73" s="16"/>
      <c r="X73" s="16"/>
      <c r="Y73" s="16"/>
      <c r="Z73" s="16"/>
    </row>
    <row r="74" spans="20:26" ht="15.5" x14ac:dyDescent="0.35">
      <c r="T74" s="78"/>
      <c r="U74" s="27" t="s">
        <v>18</v>
      </c>
      <c r="V74" s="16"/>
      <c r="W74" s="16"/>
      <c r="X74" s="16"/>
      <c r="Y74" s="16"/>
      <c r="Z74" s="16"/>
    </row>
    <row r="75" spans="20:26" x14ac:dyDescent="0.35">
      <c r="T75" s="78"/>
      <c r="U75" s="26" t="s">
        <v>20</v>
      </c>
      <c r="V75" s="16"/>
      <c r="W75" s="16"/>
      <c r="X75" s="16"/>
      <c r="Y75" s="16"/>
      <c r="Z75" s="16"/>
    </row>
    <row r="78" spans="20:26" ht="18.5" x14ac:dyDescent="0.45">
      <c r="T78" s="31" t="s">
        <v>137</v>
      </c>
    </row>
    <row r="79" spans="20:26" x14ac:dyDescent="0.35">
      <c r="T79" s="28" t="s">
        <v>2</v>
      </c>
      <c r="U79" s="28" t="s">
        <v>11</v>
      </c>
      <c r="V79" s="28" t="s">
        <v>16</v>
      </c>
      <c r="W79" s="28" t="s">
        <v>132</v>
      </c>
      <c r="X79" s="28" t="s">
        <v>111</v>
      </c>
    </row>
    <row r="80" spans="20:26" x14ac:dyDescent="0.35">
      <c r="T80" s="30">
        <v>46023</v>
      </c>
      <c r="U80" s="61">
        <v>1320</v>
      </c>
      <c r="V80" s="61">
        <v>0</v>
      </c>
      <c r="W80" s="61">
        <v>12</v>
      </c>
      <c r="X80" s="6">
        <f>SUM(U80:W80)</f>
        <v>1332</v>
      </c>
    </row>
    <row r="81" spans="20:24" x14ac:dyDescent="0.35">
      <c r="T81" s="30">
        <v>46054</v>
      </c>
      <c r="U81" s="61">
        <v>1623</v>
      </c>
      <c r="V81" s="61">
        <v>0</v>
      </c>
      <c r="W81" s="61">
        <v>29</v>
      </c>
      <c r="X81" s="6">
        <f>SUM(U81:W81)</f>
        <v>1652</v>
      </c>
    </row>
    <row r="82" spans="20:24" x14ac:dyDescent="0.35">
      <c r="T82" s="30">
        <v>46082</v>
      </c>
      <c r="U82" s="6">
        <v>704</v>
      </c>
      <c r="V82" s="6">
        <v>0</v>
      </c>
      <c r="W82" s="6">
        <v>25</v>
      </c>
      <c r="X82" s="6">
        <f>SUM(U82:W82)</f>
        <v>729</v>
      </c>
    </row>
    <row r="83" spans="20:24" x14ac:dyDescent="0.35">
      <c r="T83" s="30">
        <v>46113</v>
      </c>
      <c r="U83" s="6">
        <v>289</v>
      </c>
      <c r="V83" s="6">
        <v>0</v>
      </c>
      <c r="W83" s="6">
        <v>5</v>
      </c>
      <c r="X83" s="6">
        <f>SUM(U83:W83)</f>
        <v>294</v>
      </c>
    </row>
    <row r="84" spans="20:24" x14ac:dyDescent="0.35">
      <c r="T84" s="30">
        <v>46143</v>
      </c>
      <c r="U84" s="16"/>
      <c r="V84" s="16"/>
      <c r="W84" s="16"/>
      <c r="X84" s="16"/>
    </row>
    <row r="85" spans="20:24" x14ac:dyDescent="0.35">
      <c r="T85" s="30">
        <v>46174</v>
      </c>
      <c r="U85" s="16"/>
      <c r="V85" s="16"/>
      <c r="W85" s="16"/>
      <c r="X85" s="16"/>
    </row>
    <row r="86" spans="20:24" x14ac:dyDescent="0.35">
      <c r="T86" s="30">
        <v>46204</v>
      </c>
      <c r="U86" s="16"/>
      <c r="V86" s="16"/>
      <c r="W86" s="16"/>
      <c r="X86" s="16"/>
    </row>
    <row r="87" spans="20:24" x14ac:dyDescent="0.35">
      <c r="T87" s="30">
        <v>46235</v>
      </c>
      <c r="U87" s="16"/>
      <c r="V87" s="16"/>
      <c r="W87" s="16"/>
      <c r="X87" s="16"/>
    </row>
    <row r="88" spans="20:24" x14ac:dyDescent="0.35">
      <c r="T88" s="30">
        <v>46266</v>
      </c>
      <c r="U88" s="16"/>
      <c r="V88" s="16"/>
      <c r="W88" s="16"/>
      <c r="X88" s="16"/>
    </row>
    <row r="89" spans="20:24" x14ac:dyDescent="0.35">
      <c r="T89" s="30">
        <v>46296</v>
      </c>
      <c r="U89" s="16"/>
      <c r="V89" s="16"/>
      <c r="W89" s="16"/>
      <c r="X89" s="16"/>
    </row>
    <row r="90" spans="20:24" x14ac:dyDescent="0.35">
      <c r="T90" s="30">
        <v>46327</v>
      </c>
      <c r="U90" s="16"/>
      <c r="V90" s="16"/>
      <c r="W90" s="16"/>
      <c r="X90" s="16"/>
    </row>
    <row r="91" spans="20:24" x14ac:dyDescent="0.35">
      <c r="T91" s="30">
        <v>46357</v>
      </c>
      <c r="U91" s="16"/>
      <c r="V91" s="16"/>
      <c r="W91" s="16"/>
      <c r="X91" s="16"/>
    </row>
    <row r="94" spans="20:24" ht="18.5" x14ac:dyDescent="0.45">
      <c r="T94" s="31" t="s">
        <v>1</v>
      </c>
      <c r="U94" s="62"/>
      <c r="V94" s="62"/>
    </row>
    <row r="95" spans="20:24" x14ac:dyDescent="0.35">
      <c r="T95" s="28" t="s">
        <v>2</v>
      </c>
      <c r="U95" s="28" t="s">
        <v>3</v>
      </c>
      <c r="V95" s="28" t="s">
        <v>4</v>
      </c>
    </row>
    <row r="96" spans="20:24" x14ac:dyDescent="0.35">
      <c r="T96" s="4" t="s">
        <v>5</v>
      </c>
      <c r="U96" s="69">
        <f>SUM(Z4:Z9)</f>
        <v>718077</v>
      </c>
      <c r="V96" s="70">
        <f>SUM(X4:Y9)</f>
        <v>300946</v>
      </c>
    </row>
    <row r="97" spans="20:22" x14ac:dyDescent="0.35">
      <c r="T97" s="4" t="s">
        <v>7</v>
      </c>
      <c r="U97" s="69">
        <f>SUM(Z10:Z15)</f>
        <v>52691</v>
      </c>
      <c r="V97" s="70">
        <f>SUM(X10:Y15)</f>
        <v>240448</v>
      </c>
    </row>
    <row r="98" spans="20:22" x14ac:dyDescent="0.35">
      <c r="T98" s="4" t="s">
        <v>9</v>
      </c>
      <c r="U98" s="69">
        <f>SUM(Z16:Z21)</f>
        <v>135387</v>
      </c>
      <c r="V98" s="70">
        <f>SUM(X16:Y21)</f>
        <v>68185</v>
      </c>
    </row>
    <row r="99" spans="20:22" x14ac:dyDescent="0.35">
      <c r="T99" s="4" t="s">
        <v>12</v>
      </c>
      <c r="U99" s="69">
        <f>SUM(Z17:Z22)</f>
        <v>1113</v>
      </c>
      <c r="V99" s="70">
        <f>SUM(X17:Y22)</f>
        <v>5424</v>
      </c>
    </row>
    <row r="100" spans="20:22" x14ac:dyDescent="0.35">
      <c r="T100" s="4" t="s">
        <v>14</v>
      </c>
      <c r="U100" s="7"/>
      <c r="V100" s="8"/>
    </row>
    <row r="101" spans="20:22" x14ac:dyDescent="0.35">
      <c r="T101" s="4" t="s">
        <v>17</v>
      </c>
      <c r="U101" s="7"/>
      <c r="V101" s="8"/>
    </row>
    <row r="102" spans="20:22" x14ac:dyDescent="0.35">
      <c r="T102" s="4" t="s">
        <v>19</v>
      </c>
      <c r="U102" s="7"/>
      <c r="V102" s="8"/>
    </row>
    <row r="103" spans="20:22" x14ac:dyDescent="0.35">
      <c r="T103" s="4" t="s">
        <v>21</v>
      </c>
      <c r="U103" s="7"/>
      <c r="V103" s="8"/>
    </row>
    <row r="104" spans="20:22" x14ac:dyDescent="0.35">
      <c r="T104" s="4" t="s">
        <v>22</v>
      </c>
      <c r="U104" s="7"/>
      <c r="V104" s="8"/>
    </row>
    <row r="105" spans="20:22" x14ac:dyDescent="0.35">
      <c r="T105" s="4" t="s">
        <v>23</v>
      </c>
      <c r="U105" s="7"/>
      <c r="V105" s="8"/>
    </row>
    <row r="106" spans="20:22" x14ac:dyDescent="0.35">
      <c r="T106" s="4" t="s">
        <v>24</v>
      </c>
      <c r="U106" s="7"/>
      <c r="V106" s="8"/>
    </row>
    <row r="107" spans="20:22" x14ac:dyDescent="0.35">
      <c r="T107" s="4" t="s">
        <v>25</v>
      </c>
      <c r="U107" s="7"/>
      <c r="V107" s="8"/>
    </row>
  </sheetData>
  <mergeCells count="18">
    <mergeCell ref="B2:E2"/>
    <mergeCell ref="F2:I2"/>
    <mergeCell ref="J2:M2"/>
    <mergeCell ref="N2:Q2"/>
    <mergeCell ref="T4:T9"/>
    <mergeCell ref="T10:T15"/>
    <mergeCell ref="T16:T21"/>
    <mergeCell ref="B19:D19"/>
    <mergeCell ref="E19:G19"/>
    <mergeCell ref="T22:T27"/>
    <mergeCell ref="T58:T63"/>
    <mergeCell ref="T64:T69"/>
    <mergeCell ref="T70:T75"/>
    <mergeCell ref="T28:T33"/>
    <mergeCell ref="T34:T39"/>
    <mergeCell ref="T40:T45"/>
    <mergeCell ref="T46:T51"/>
    <mergeCell ref="T52:T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2FFF-4341-482B-8050-BD6B0126045D}">
  <dimension ref="A1:I19"/>
  <sheetViews>
    <sheetView topLeftCell="A10" workbookViewId="0">
      <selection activeCell="E8" sqref="E8"/>
    </sheetView>
  </sheetViews>
  <sheetFormatPr defaultRowHeight="14.5" x14ac:dyDescent="0.35"/>
  <cols>
    <col min="2" max="2" width="10.453125" bestFit="1" customWidth="1"/>
    <col min="3" max="3" width="37.453125" bestFit="1" customWidth="1"/>
    <col min="4" max="4" width="13.26953125" bestFit="1" customWidth="1"/>
    <col min="9" max="9" width="17.36328125" bestFit="1" customWidth="1"/>
  </cols>
  <sheetData>
    <row r="1" spans="1:9" x14ac:dyDescent="0.35">
      <c r="A1" s="32" t="s">
        <v>2</v>
      </c>
      <c r="B1" s="32" t="s">
        <v>44</v>
      </c>
      <c r="C1" s="32" t="s">
        <v>87</v>
      </c>
      <c r="D1" s="32" t="s">
        <v>88</v>
      </c>
      <c r="E1" s="32" t="s">
        <v>89</v>
      </c>
      <c r="F1" s="32" t="s">
        <v>90</v>
      </c>
      <c r="G1" s="32" t="s">
        <v>91</v>
      </c>
      <c r="H1" s="32" t="s">
        <v>92</v>
      </c>
      <c r="I1" s="32" t="s">
        <v>133</v>
      </c>
    </row>
    <row r="2" spans="1:9" x14ac:dyDescent="0.35">
      <c r="A2" s="33" t="s">
        <v>5</v>
      </c>
      <c r="B2" s="34">
        <v>46027</v>
      </c>
      <c r="C2" s="35" t="s">
        <v>94</v>
      </c>
      <c r="D2" s="35">
        <v>46029</v>
      </c>
      <c r="E2" s="24">
        <v>170</v>
      </c>
      <c r="F2" s="36">
        <v>518</v>
      </c>
      <c r="G2" s="36">
        <v>170</v>
      </c>
      <c r="H2" s="36">
        <v>0</v>
      </c>
      <c r="I2" s="36">
        <f t="shared" ref="I2:I11" si="0">SUM(F2:H2)</f>
        <v>688</v>
      </c>
    </row>
    <row r="3" spans="1:9" x14ac:dyDescent="0.35">
      <c r="A3" s="33" t="s">
        <v>5</v>
      </c>
      <c r="B3" s="34">
        <v>46034</v>
      </c>
      <c r="C3" s="35" t="s">
        <v>95</v>
      </c>
      <c r="D3" s="35">
        <v>46040</v>
      </c>
      <c r="E3" s="24">
        <v>304</v>
      </c>
      <c r="F3" s="36">
        <v>892</v>
      </c>
      <c r="G3" s="36">
        <v>304</v>
      </c>
      <c r="H3" s="36">
        <v>0</v>
      </c>
      <c r="I3" s="36">
        <f t="shared" si="0"/>
        <v>1196</v>
      </c>
    </row>
    <row r="4" spans="1:9" x14ac:dyDescent="0.35">
      <c r="A4" s="33" t="s">
        <v>5</v>
      </c>
      <c r="B4" s="34">
        <v>46041</v>
      </c>
      <c r="C4" s="35" t="s">
        <v>96</v>
      </c>
      <c r="D4" s="35">
        <v>46045</v>
      </c>
      <c r="E4" s="24">
        <v>238</v>
      </c>
      <c r="F4" s="36">
        <v>733</v>
      </c>
      <c r="G4" s="36">
        <v>238</v>
      </c>
      <c r="H4" s="36">
        <v>0</v>
      </c>
      <c r="I4" s="36">
        <f t="shared" si="0"/>
        <v>971</v>
      </c>
    </row>
    <row r="5" spans="1:9" x14ac:dyDescent="0.35">
      <c r="A5" s="33" t="s">
        <v>5</v>
      </c>
      <c r="B5" s="34">
        <v>46048</v>
      </c>
      <c r="C5" s="35" t="s">
        <v>97</v>
      </c>
      <c r="D5" s="35">
        <v>46055</v>
      </c>
      <c r="E5" s="24">
        <v>218</v>
      </c>
      <c r="F5" s="36">
        <v>644</v>
      </c>
      <c r="G5" s="36">
        <v>218</v>
      </c>
      <c r="H5" s="36">
        <v>0</v>
      </c>
      <c r="I5" s="36">
        <f t="shared" si="0"/>
        <v>862</v>
      </c>
    </row>
    <row r="6" spans="1:9" x14ac:dyDescent="0.35">
      <c r="A6" s="33" t="s">
        <v>7</v>
      </c>
      <c r="B6" s="34">
        <v>46055</v>
      </c>
      <c r="C6" s="35" t="s">
        <v>98</v>
      </c>
      <c r="D6" s="35">
        <v>46056</v>
      </c>
      <c r="E6" s="24">
        <v>197</v>
      </c>
      <c r="F6" s="36">
        <v>659</v>
      </c>
      <c r="G6" s="36">
        <v>197</v>
      </c>
      <c r="H6" s="36">
        <v>0</v>
      </c>
      <c r="I6" s="36">
        <f t="shared" si="0"/>
        <v>856</v>
      </c>
    </row>
    <row r="7" spans="1:9" x14ac:dyDescent="0.35">
      <c r="A7" s="33" t="s">
        <v>7</v>
      </c>
      <c r="B7" s="34">
        <v>46062</v>
      </c>
      <c r="C7" s="35" t="s">
        <v>99</v>
      </c>
      <c r="D7" s="35">
        <v>46064</v>
      </c>
      <c r="E7" s="24">
        <v>388</v>
      </c>
      <c r="F7" s="36">
        <v>980</v>
      </c>
      <c r="G7" s="36">
        <v>388</v>
      </c>
      <c r="H7" s="36">
        <v>0</v>
      </c>
      <c r="I7" s="36">
        <f t="shared" si="0"/>
        <v>1368</v>
      </c>
    </row>
    <row r="8" spans="1:9" x14ac:dyDescent="0.35">
      <c r="A8" s="37" t="s">
        <v>7</v>
      </c>
      <c r="B8" s="38">
        <v>46063</v>
      </c>
      <c r="C8" s="39" t="s">
        <v>100</v>
      </c>
      <c r="D8" s="40">
        <v>46071</v>
      </c>
      <c r="E8" s="24">
        <v>237</v>
      </c>
      <c r="F8" s="36">
        <v>6039</v>
      </c>
      <c r="G8" s="36">
        <v>236</v>
      </c>
      <c r="H8" s="36">
        <v>1</v>
      </c>
      <c r="I8" s="36">
        <f t="shared" si="0"/>
        <v>6276</v>
      </c>
    </row>
    <row r="9" spans="1:9" x14ac:dyDescent="0.35">
      <c r="A9" s="37" t="s">
        <v>7</v>
      </c>
      <c r="B9" s="38">
        <v>46070</v>
      </c>
      <c r="C9" s="39" t="s">
        <v>101</v>
      </c>
      <c r="D9" s="40">
        <v>46072</v>
      </c>
      <c r="E9" s="24">
        <v>214</v>
      </c>
      <c r="F9" s="36">
        <v>5631</v>
      </c>
      <c r="G9" s="36">
        <v>213</v>
      </c>
      <c r="H9" s="36">
        <v>1</v>
      </c>
      <c r="I9" s="36">
        <f t="shared" si="0"/>
        <v>5845</v>
      </c>
    </row>
    <row r="10" spans="1:9" x14ac:dyDescent="0.35">
      <c r="A10" s="37" t="s">
        <v>7</v>
      </c>
      <c r="B10" s="38">
        <v>46077</v>
      </c>
      <c r="C10" s="39" t="s">
        <v>102</v>
      </c>
      <c r="D10" s="40">
        <v>46084</v>
      </c>
      <c r="E10" s="24">
        <v>399</v>
      </c>
      <c r="F10" s="36">
        <v>8869</v>
      </c>
      <c r="G10" s="36">
        <v>398</v>
      </c>
      <c r="H10" s="36">
        <v>1</v>
      </c>
      <c r="I10" s="36">
        <f t="shared" si="0"/>
        <v>9268</v>
      </c>
    </row>
    <row r="11" spans="1:9" x14ac:dyDescent="0.35">
      <c r="A11" s="33" t="s">
        <v>9</v>
      </c>
      <c r="B11" s="38">
        <v>46084</v>
      </c>
      <c r="C11" s="39" t="s">
        <v>103</v>
      </c>
      <c r="D11" s="38">
        <v>46085</v>
      </c>
      <c r="E11" s="24">
        <v>254</v>
      </c>
      <c r="F11" s="36">
        <v>7746</v>
      </c>
      <c r="G11" s="36">
        <v>253</v>
      </c>
      <c r="H11" s="36">
        <v>1</v>
      </c>
      <c r="I11" s="36">
        <f t="shared" si="0"/>
        <v>8000</v>
      </c>
    </row>
    <row r="12" spans="1:9" x14ac:dyDescent="0.35">
      <c r="A12" s="33" t="s">
        <v>9</v>
      </c>
      <c r="B12" s="38">
        <v>46091</v>
      </c>
      <c r="C12" s="39" t="s">
        <v>104</v>
      </c>
      <c r="D12" s="38">
        <v>46091</v>
      </c>
      <c r="E12" s="24">
        <v>283</v>
      </c>
      <c r="F12" s="36">
        <v>7049</v>
      </c>
      <c r="G12" s="36">
        <v>282</v>
      </c>
      <c r="H12" s="36">
        <v>1</v>
      </c>
      <c r="I12" s="36">
        <f>SUM(F12:H12)</f>
        <v>7332</v>
      </c>
    </row>
    <row r="13" spans="1:9" x14ac:dyDescent="0.35">
      <c r="A13" s="16" t="s">
        <v>9</v>
      </c>
      <c r="B13" s="38">
        <v>46098</v>
      </c>
      <c r="C13" s="16" t="s">
        <v>138</v>
      </c>
      <c r="D13" s="38">
        <v>46119</v>
      </c>
      <c r="E13" s="6">
        <v>1778</v>
      </c>
      <c r="F13" s="6">
        <v>8938</v>
      </c>
      <c r="G13" s="6">
        <v>1777</v>
      </c>
      <c r="H13" s="6">
        <v>1</v>
      </c>
      <c r="I13" s="6">
        <v>10716</v>
      </c>
    </row>
    <row r="14" spans="1:9" x14ac:dyDescent="0.35">
      <c r="A14" s="16" t="s">
        <v>9</v>
      </c>
      <c r="B14" s="38">
        <v>46105</v>
      </c>
      <c r="C14" s="16" t="s">
        <v>139</v>
      </c>
      <c r="D14" s="38">
        <v>46119</v>
      </c>
      <c r="E14" s="6">
        <v>1865</v>
      </c>
      <c r="F14" s="6">
        <v>9456</v>
      </c>
      <c r="G14" s="6">
        <v>1864</v>
      </c>
      <c r="H14" s="6">
        <v>1</v>
      </c>
      <c r="I14" s="6">
        <v>11321</v>
      </c>
    </row>
    <row r="15" spans="1:9" x14ac:dyDescent="0.35">
      <c r="A15" s="16" t="s">
        <v>9</v>
      </c>
      <c r="B15" s="38">
        <v>46112</v>
      </c>
      <c r="C15" s="16" t="s">
        <v>140</v>
      </c>
      <c r="D15" s="38">
        <v>46121</v>
      </c>
      <c r="E15" s="6">
        <v>1615</v>
      </c>
      <c r="F15" s="6">
        <v>8560</v>
      </c>
      <c r="G15" s="6">
        <v>1614</v>
      </c>
      <c r="H15" s="6">
        <v>1</v>
      </c>
      <c r="I15" s="6">
        <v>10175</v>
      </c>
    </row>
    <row r="16" spans="1:9" x14ac:dyDescent="0.35">
      <c r="A16" s="16" t="s">
        <v>12</v>
      </c>
      <c r="B16" s="38">
        <v>46119</v>
      </c>
      <c r="C16" s="16" t="s">
        <v>141</v>
      </c>
      <c r="D16" s="38">
        <v>46122</v>
      </c>
      <c r="E16" s="6">
        <v>1385</v>
      </c>
      <c r="F16" s="6">
        <v>7716</v>
      </c>
      <c r="G16" s="6">
        <v>1384</v>
      </c>
      <c r="H16" s="6">
        <v>1</v>
      </c>
      <c r="I16" s="6">
        <v>9101</v>
      </c>
    </row>
    <row r="17" spans="1:9" x14ac:dyDescent="0.35">
      <c r="A17" s="16" t="s">
        <v>12</v>
      </c>
      <c r="B17" s="38">
        <v>46126</v>
      </c>
      <c r="C17" s="16" t="s">
        <v>142</v>
      </c>
      <c r="D17" s="38">
        <v>46126</v>
      </c>
      <c r="E17" s="6">
        <v>824</v>
      </c>
      <c r="F17" s="6">
        <v>9188</v>
      </c>
      <c r="G17" s="6">
        <v>824</v>
      </c>
      <c r="H17" s="6">
        <v>0</v>
      </c>
      <c r="I17" s="6">
        <v>10012</v>
      </c>
    </row>
    <row r="18" spans="1:9" x14ac:dyDescent="0.35">
      <c r="A18" s="16" t="s">
        <v>12</v>
      </c>
      <c r="B18" s="38">
        <v>46133</v>
      </c>
      <c r="C18" s="16" t="s">
        <v>143</v>
      </c>
      <c r="D18" s="38">
        <v>46133</v>
      </c>
      <c r="E18" s="6">
        <v>848</v>
      </c>
      <c r="F18" s="6">
        <v>9543</v>
      </c>
      <c r="G18" s="6">
        <v>848</v>
      </c>
      <c r="H18" s="6">
        <v>0</v>
      </c>
      <c r="I18" s="6">
        <v>10391</v>
      </c>
    </row>
    <row r="19" spans="1:9" x14ac:dyDescent="0.35">
      <c r="A19" s="16" t="s">
        <v>12</v>
      </c>
      <c r="B19" s="38">
        <v>46109</v>
      </c>
      <c r="C19" s="16" t="s">
        <v>143</v>
      </c>
      <c r="D19" s="38">
        <v>46141</v>
      </c>
      <c r="E19" s="6">
        <v>123</v>
      </c>
      <c r="F19" s="6">
        <v>4573</v>
      </c>
      <c r="G19" s="6">
        <v>123</v>
      </c>
      <c r="H19" s="6">
        <v>0</v>
      </c>
      <c r="I19" s="6">
        <v>4696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383F-BEEA-40A6-8605-71A271CAB425}">
  <dimension ref="A1:K13"/>
  <sheetViews>
    <sheetView zoomScale="85" zoomScaleNormal="85" workbookViewId="0">
      <selection activeCell="H9" sqref="H9"/>
    </sheetView>
  </sheetViews>
  <sheetFormatPr defaultRowHeight="14.5" x14ac:dyDescent="0.35"/>
  <cols>
    <col min="1" max="1" width="15.54296875" customWidth="1"/>
    <col min="2" max="2" width="16" customWidth="1"/>
    <col min="3" max="3" width="36.54296875" bestFit="1" customWidth="1"/>
    <col min="4" max="4" width="15.54296875" bestFit="1" customWidth="1"/>
    <col min="5" max="5" width="18.453125" bestFit="1" customWidth="1"/>
    <col min="6" max="6" width="17.7265625" bestFit="1" customWidth="1"/>
    <col min="7" max="7" width="15" bestFit="1" customWidth="1"/>
    <col min="8" max="8" width="14.26953125" bestFit="1" customWidth="1"/>
    <col min="9" max="9" width="13.453125" bestFit="1" customWidth="1"/>
    <col min="10" max="10" width="14.26953125" bestFit="1" customWidth="1"/>
  </cols>
  <sheetData>
    <row r="1" spans="1:11" ht="21.65" customHeight="1" x14ac:dyDescent="0.35">
      <c r="A1" s="41" t="s">
        <v>2</v>
      </c>
      <c r="B1" s="41" t="s">
        <v>88</v>
      </c>
      <c r="C1" s="41" t="s">
        <v>105</v>
      </c>
      <c r="D1" s="42" t="s">
        <v>106</v>
      </c>
      <c r="E1" s="42" t="s">
        <v>107</v>
      </c>
      <c r="F1" s="42" t="s">
        <v>108</v>
      </c>
      <c r="G1" s="42" t="s">
        <v>109</v>
      </c>
      <c r="H1" s="42" t="s">
        <v>110</v>
      </c>
      <c r="I1" s="43" t="s">
        <v>111</v>
      </c>
      <c r="J1" s="43" t="s">
        <v>112</v>
      </c>
      <c r="K1" s="44" t="s">
        <v>113</v>
      </c>
    </row>
    <row r="2" spans="1:11" x14ac:dyDescent="0.35">
      <c r="A2" s="45" t="s">
        <v>5</v>
      </c>
      <c r="B2" s="22">
        <v>46062</v>
      </c>
      <c r="C2" s="46" t="s">
        <v>114</v>
      </c>
      <c r="D2" s="47">
        <v>394</v>
      </c>
      <c r="E2" s="6">
        <v>3</v>
      </c>
      <c r="F2" s="6">
        <v>0</v>
      </c>
      <c r="G2" s="6">
        <v>0</v>
      </c>
      <c r="H2" s="6">
        <v>0</v>
      </c>
      <c r="I2" s="6">
        <v>0</v>
      </c>
      <c r="J2" s="24">
        <f t="shared" ref="J2" si="0">SUM(E2,G2)</f>
        <v>3</v>
      </c>
      <c r="K2" s="47">
        <f t="shared" ref="K2" si="1">SUM(I2:J2)</f>
        <v>3</v>
      </c>
    </row>
    <row r="3" spans="1:11" x14ac:dyDescent="0.35">
      <c r="A3" s="45" t="s">
        <v>7</v>
      </c>
      <c r="B3" s="22">
        <v>46083</v>
      </c>
      <c r="C3" s="46" t="s">
        <v>115</v>
      </c>
      <c r="D3" s="6">
        <v>336</v>
      </c>
      <c r="E3" s="6">
        <v>4</v>
      </c>
      <c r="F3" s="6">
        <v>0</v>
      </c>
      <c r="G3" s="6">
        <v>0</v>
      </c>
      <c r="H3" s="6">
        <v>0</v>
      </c>
      <c r="I3" s="6">
        <v>0</v>
      </c>
      <c r="J3" s="6">
        <v>4</v>
      </c>
      <c r="K3" s="6">
        <v>4</v>
      </c>
    </row>
    <row r="4" spans="1:11" x14ac:dyDescent="0.35">
      <c r="A4" s="54" t="s">
        <v>9</v>
      </c>
      <c r="B4" s="22">
        <v>46139</v>
      </c>
      <c r="C4" s="33" t="s">
        <v>144</v>
      </c>
      <c r="D4" s="6">
        <v>412</v>
      </c>
      <c r="E4" s="6">
        <v>4</v>
      </c>
      <c r="F4" s="6">
        <v>0</v>
      </c>
      <c r="G4" s="6">
        <v>0</v>
      </c>
      <c r="H4" s="6">
        <v>0</v>
      </c>
      <c r="I4" s="6">
        <v>0</v>
      </c>
      <c r="J4" s="6">
        <v>4</v>
      </c>
      <c r="K4" s="47">
        <v>4</v>
      </c>
    </row>
    <row r="5" spans="1:11" x14ac:dyDescent="0.35">
      <c r="A5" s="45" t="s">
        <v>12</v>
      </c>
      <c r="B5" s="22">
        <v>46150</v>
      </c>
      <c r="C5" s="71" t="s">
        <v>148</v>
      </c>
      <c r="D5" s="6">
        <v>448</v>
      </c>
      <c r="E5" s="6">
        <v>6</v>
      </c>
      <c r="F5" s="6">
        <v>0</v>
      </c>
      <c r="G5" s="6">
        <v>0</v>
      </c>
      <c r="H5" s="6">
        <v>0</v>
      </c>
      <c r="I5" s="6">
        <v>0</v>
      </c>
      <c r="J5" s="6">
        <v>6</v>
      </c>
      <c r="K5" s="6">
        <v>6</v>
      </c>
    </row>
    <row r="6" spans="1:11" x14ac:dyDescent="0.35">
      <c r="A6" s="45" t="s">
        <v>14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35">
      <c r="A7" s="54" t="s">
        <v>17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35">
      <c r="A8" s="45" t="s">
        <v>19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5">
      <c r="A9" s="45" t="s">
        <v>21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5">
      <c r="A10" s="54" t="s">
        <v>145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5">
      <c r="A11" s="45" t="s">
        <v>23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35">
      <c r="A12" s="45" t="s">
        <v>146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35">
      <c r="A13" s="54" t="s">
        <v>147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7B88-0563-433F-8934-7B6EA0C832C7}">
  <dimension ref="A1:E58"/>
  <sheetViews>
    <sheetView topLeftCell="A46" zoomScale="80" zoomScaleNormal="80" workbookViewId="0">
      <selection activeCell="D54" sqref="D54"/>
    </sheetView>
  </sheetViews>
  <sheetFormatPr defaultRowHeight="14.5" x14ac:dyDescent="0.35"/>
  <cols>
    <col min="1" max="1" width="17.453125" customWidth="1"/>
    <col min="2" max="2" width="29.54296875" bestFit="1" customWidth="1"/>
    <col min="3" max="3" width="16.453125" style="53" bestFit="1" customWidth="1"/>
    <col min="5" max="5" width="10.81640625" bestFit="1" customWidth="1"/>
  </cols>
  <sheetData>
    <row r="1" spans="1:3" ht="15.5" x14ac:dyDescent="0.35">
      <c r="A1" s="51" t="s">
        <v>44</v>
      </c>
      <c r="B1" s="52" t="s">
        <v>45</v>
      </c>
      <c r="C1" s="52" t="s">
        <v>46</v>
      </c>
    </row>
    <row r="2" spans="1:3" ht="15.5" x14ac:dyDescent="0.35">
      <c r="A2" s="48">
        <v>46028</v>
      </c>
      <c r="B2" s="19" t="s">
        <v>47</v>
      </c>
      <c r="C2" s="72">
        <v>0</v>
      </c>
    </row>
    <row r="3" spans="1:3" ht="15.5" x14ac:dyDescent="0.35">
      <c r="A3" s="48">
        <v>46028</v>
      </c>
      <c r="B3" s="19" t="s">
        <v>48</v>
      </c>
      <c r="C3" s="72">
        <v>3</v>
      </c>
    </row>
    <row r="4" spans="1:3" ht="15.5" x14ac:dyDescent="0.35">
      <c r="A4" s="49">
        <v>46035</v>
      </c>
      <c r="B4" s="19" t="s">
        <v>49</v>
      </c>
      <c r="C4" s="72">
        <v>12</v>
      </c>
    </row>
    <row r="5" spans="1:3" ht="15.5" x14ac:dyDescent="0.35">
      <c r="A5" s="49">
        <v>46035</v>
      </c>
      <c r="B5" s="19" t="s">
        <v>50</v>
      </c>
      <c r="C5" s="72">
        <v>0</v>
      </c>
    </row>
    <row r="6" spans="1:3" ht="15.5" x14ac:dyDescent="0.35">
      <c r="A6" s="49">
        <v>46035</v>
      </c>
      <c r="B6" s="17" t="s">
        <v>51</v>
      </c>
      <c r="C6" s="73">
        <v>8</v>
      </c>
    </row>
    <row r="7" spans="1:3" ht="15.5" x14ac:dyDescent="0.35">
      <c r="A7" s="49">
        <v>46036</v>
      </c>
      <c r="B7" s="17" t="s">
        <v>52</v>
      </c>
      <c r="C7" s="73">
        <v>3</v>
      </c>
    </row>
    <row r="8" spans="1:3" ht="15.5" x14ac:dyDescent="0.35">
      <c r="A8" s="49">
        <v>46042</v>
      </c>
      <c r="B8" s="17" t="s">
        <v>53</v>
      </c>
      <c r="C8" s="73">
        <v>1</v>
      </c>
    </row>
    <row r="9" spans="1:3" ht="15.5" x14ac:dyDescent="0.35">
      <c r="A9" s="49">
        <v>46042</v>
      </c>
      <c r="B9" s="17" t="s">
        <v>54</v>
      </c>
      <c r="C9" s="73">
        <v>1</v>
      </c>
    </row>
    <row r="10" spans="1:3" ht="15.5" x14ac:dyDescent="0.35">
      <c r="A10" s="49">
        <v>46043</v>
      </c>
      <c r="B10" s="17" t="s">
        <v>55</v>
      </c>
      <c r="C10" s="73">
        <v>1</v>
      </c>
    </row>
    <row r="11" spans="1:3" ht="15.5" x14ac:dyDescent="0.35">
      <c r="A11" s="49">
        <v>46043</v>
      </c>
      <c r="B11" s="17" t="s">
        <v>56</v>
      </c>
      <c r="C11" s="73">
        <v>5</v>
      </c>
    </row>
    <row r="12" spans="1:3" ht="15.5" x14ac:dyDescent="0.35">
      <c r="A12" s="49">
        <v>46044</v>
      </c>
      <c r="B12" s="17" t="s">
        <v>57</v>
      </c>
      <c r="C12" s="73">
        <v>2</v>
      </c>
    </row>
    <row r="13" spans="1:3" ht="15.5" x14ac:dyDescent="0.35">
      <c r="A13" s="49">
        <v>46048</v>
      </c>
      <c r="B13" s="17" t="s">
        <v>58</v>
      </c>
      <c r="C13" s="73">
        <v>0</v>
      </c>
    </row>
    <row r="14" spans="1:3" ht="15.5" x14ac:dyDescent="0.35">
      <c r="A14" s="49">
        <v>46048</v>
      </c>
      <c r="B14" s="17" t="s">
        <v>59</v>
      </c>
      <c r="C14" s="73">
        <v>4</v>
      </c>
    </row>
    <row r="15" spans="1:3" ht="15.5" x14ac:dyDescent="0.35">
      <c r="A15" s="49">
        <v>46049</v>
      </c>
      <c r="B15" s="17" t="s">
        <v>60</v>
      </c>
      <c r="C15" s="73">
        <v>0</v>
      </c>
    </row>
    <row r="16" spans="1:3" ht="15.5" x14ac:dyDescent="0.35">
      <c r="A16" s="49">
        <v>46050</v>
      </c>
      <c r="B16" s="17" t="s">
        <v>61</v>
      </c>
      <c r="C16" s="73">
        <v>0</v>
      </c>
    </row>
    <row r="17" spans="1:3" ht="15.5" x14ac:dyDescent="0.35">
      <c r="A17" s="49">
        <v>46056</v>
      </c>
      <c r="B17" s="17" t="s">
        <v>62</v>
      </c>
      <c r="C17" s="73">
        <v>1</v>
      </c>
    </row>
    <row r="18" spans="1:3" ht="15.5" x14ac:dyDescent="0.35">
      <c r="A18" s="49">
        <v>46056</v>
      </c>
      <c r="B18" s="17" t="s">
        <v>63</v>
      </c>
      <c r="C18" s="73">
        <v>0</v>
      </c>
    </row>
    <row r="19" spans="1:3" ht="15.5" x14ac:dyDescent="0.35">
      <c r="A19" s="49">
        <v>46057</v>
      </c>
      <c r="B19" s="17" t="s">
        <v>64</v>
      </c>
      <c r="C19" s="73">
        <v>7</v>
      </c>
    </row>
    <row r="20" spans="1:3" ht="15.5" x14ac:dyDescent="0.35">
      <c r="A20" s="49">
        <v>46057</v>
      </c>
      <c r="B20" s="17" t="s">
        <v>65</v>
      </c>
      <c r="C20" s="73">
        <v>7</v>
      </c>
    </row>
    <row r="21" spans="1:3" ht="15.5" x14ac:dyDescent="0.35">
      <c r="A21" s="49">
        <v>46058</v>
      </c>
      <c r="B21" s="17" t="s">
        <v>66</v>
      </c>
      <c r="C21" s="73">
        <v>0</v>
      </c>
    </row>
    <row r="22" spans="1:3" ht="15.5" x14ac:dyDescent="0.35">
      <c r="A22" s="49">
        <v>46065</v>
      </c>
      <c r="B22" s="17" t="s">
        <v>67</v>
      </c>
      <c r="C22" s="73">
        <v>10</v>
      </c>
    </row>
    <row r="23" spans="1:3" ht="15.5" x14ac:dyDescent="0.35">
      <c r="A23" s="49">
        <v>46065</v>
      </c>
      <c r="B23" s="17" t="s">
        <v>68</v>
      </c>
      <c r="C23" s="73">
        <v>0</v>
      </c>
    </row>
    <row r="24" spans="1:3" ht="15.5" x14ac:dyDescent="0.35">
      <c r="A24" s="49">
        <v>46065</v>
      </c>
      <c r="B24" s="17" t="s">
        <v>69</v>
      </c>
      <c r="C24" s="73">
        <v>4</v>
      </c>
    </row>
    <row r="25" spans="1:3" ht="15.5" x14ac:dyDescent="0.35">
      <c r="A25" s="49">
        <v>46073</v>
      </c>
      <c r="B25" s="20" t="s">
        <v>70</v>
      </c>
      <c r="C25" s="73">
        <v>4</v>
      </c>
    </row>
    <row r="26" spans="1:3" ht="15.5" x14ac:dyDescent="0.35">
      <c r="A26" s="49">
        <v>46073</v>
      </c>
      <c r="B26" s="17" t="s">
        <v>71</v>
      </c>
      <c r="C26" s="73">
        <v>0</v>
      </c>
    </row>
    <row r="27" spans="1:3" ht="15.5" x14ac:dyDescent="0.35">
      <c r="A27" s="49">
        <v>46073</v>
      </c>
      <c r="B27" s="18" t="s">
        <v>72</v>
      </c>
      <c r="C27" s="73">
        <v>2</v>
      </c>
    </row>
    <row r="28" spans="1:3" ht="15.5" x14ac:dyDescent="0.35">
      <c r="A28" s="49">
        <v>46077</v>
      </c>
      <c r="B28" s="19" t="s">
        <v>73</v>
      </c>
      <c r="C28" s="73">
        <v>2</v>
      </c>
    </row>
    <row r="29" spans="1:3" ht="15.5" x14ac:dyDescent="0.35">
      <c r="A29" s="49">
        <v>46078</v>
      </c>
      <c r="B29" s="19" t="s">
        <v>74</v>
      </c>
      <c r="C29" s="73">
        <v>0</v>
      </c>
    </row>
    <row r="30" spans="1:3" ht="15.5" x14ac:dyDescent="0.35">
      <c r="A30" s="49">
        <v>46078</v>
      </c>
      <c r="B30" s="19" t="s">
        <v>75</v>
      </c>
      <c r="C30" s="73">
        <v>6</v>
      </c>
    </row>
    <row r="31" spans="1:3" ht="15.5" x14ac:dyDescent="0.35">
      <c r="A31" s="49">
        <v>46079</v>
      </c>
      <c r="B31" s="19" t="s">
        <v>76</v>
      </c>
      <c r="C31" s="73">
        <v>8</v>
      </c>
    </row>
    <row r="32" spans="1:3" ht="15.5" x14ac:dyDescent="0.35">
      <c r="A32" s="49">
        <v>46083</v>
      </c>
      <c r="B32" s="19" t="s">
        <v>77</v>
      </c>
      <c r="C32" s="73">
        <v>1</v>
      </c>
    </row>
    <row r="33" spans="1:5" ht="15.5" x14ac:dyDescent="0.35">
      <c r="A33" s="50">
        <v>46083</v>
      </c>
      <c r="B33" s="21" t="s">
        <v>78</v>
      </c>
      <c r="C33" s="74">
        <v>1</v>
      </c>
    </row>
    <row r="34" spans="1:5" ht="15.5" x14ac:dyDescent="0.35">
      <c r="A34" s="49">
        <v>46084</v>
      </c>
      <c r="B34" s="19" t="s">
        <v>79</v>
      </c>
      <c r="C34" s="72">
        <v>7</v>
      </c>
    </row>
    <row r="35" spans="1:5" ht="15.5" x14ac:dyDescent="0.35">
      <c r="A35" s="49">
        <v>46085</v>
      </c>
      <c r="B35" s="19" t="s">
        <v>80</v>
      </c>
      <c r="C35" s="72">
        <v>7</v>
      </c>
    </row>
    <row r="36" spans="1:5" ht="15.5" x14ac:dyDescent="0.35">
      <c r="A36" s="49">
        <v>46087</v>
      </c>
      <c r="B36" s="19" t="s">
        <v>81</v>
      </c>
      <c r="C36" s="72">
        <v>3</v>
      </c>
    </row>
    <row r="37" spans="1:5" ht="15.5" x14ac:dyDescent="0.35">
      <c r="A37" s="49">
        <v>46091</v>
      </c>
      <c r="B37" s="19" t="s">
        <v>82</v>
      </c>
      <c r="C37" s="72">
        <v>1</v>
      </c>
    </row>
    <row r="38" spans="1:5" ht="15.5" x14ac:dyDescent="0.35">
      <c r="A38" s="49">
        <v>46093</v>
      </c>
      <c r="B38" s="19" t="s">
        <v>83</v>
      </c>
      <c r="C38" s="72">
        <v>1</v>
      </c>
    </row>
    <row r="39" spans="1:5" ht="15.5" x14ac:dyDescent="0.35">
      <c r="A39" s="49">
        <v>46093</v>
      </c>
      <c r="B39" s="19" t="s">
        <v>84</v>
      </c>
      <c r="C39" s="72">
        <v>0</v>
      </c>
    </row>
    <row r="40" spans="1:5" ht="15.5" x14ac:dyDescent="0.35">
      <c r="A40" s="49">
        <v>46097</v>
      </c>
      <c r="B40" s="19" t="s">
        <v>85</v>
      </c>
      <c r="C40" s="72">
        <v>1</v>
      </c>
    </row>
    <row r="41" spans="1:5" ht="15.5" x14ac:dyDescent="0.35">
      <c r="A41" s="49">
        <v>46097</v>
      </c>
      <c r="B41" s="19" t="s">
        <v>86</v>
      </c>
      <c r="C41" s="72">
        <v>1</v>
      </c>
    </row>
    <row r="42" spans="1:5" x14ac:dyDescent="0.35">
      <c r="A42" s="22">
        <v>46128</v>
      </c>
      <c r="B42" s="16" t="s">
        <v>149</v>
      </c>
      <c r="C42" s="61">
        <v>3</v>
      </c>
      <c r="E42" s="75"/>
    </row>
    <row r="43" spans="1:5" x14ac:dyDescent="0.35">
      <c r="A43" s="22">
        <v>46128</v>
      </c>
      <c r="B43" s="16" t="s">
        <v>150</v>
      </c>
      <c r="C43" s="61">
        <v>9</v>
      </c>
      <c r="E43" s="75"/>
    </row>
    <row r="44" spans="1:5" x14ac:dyDescent="0.35">
      <c r="A44" s="22">
        <v>46128</v>
      </c>
      <c r="B44" s="16" t="s">
        <v>151</v>
      </c>
      <c r="C44" s="61">
        <v>2</v>
      </c>
      <c r="E44" s="75"/>
    </row>
    <row r="45" spans="1:5" x14ac:dyDescent="0.35">
      <c r="A45" s="22">
        <v>46133</v>
      </c>
      <c r="B45" s="16" t="s">
        <v>152</v>
      </c>
      <c r="C45" s="61">
        <v>7</v>
      </c>
      <c r="E45" s="75"/>
    </row>
    <row r="46" spans="1:5" x14ac:dyDescent="0.35">
      <c r="A46" s="22">
        <v>46133</v>
      </c>
      <c r="B46" s="16" t="s">
        <v>153</v>
      </c>
      <c r="C46" s="61">
        <v>9</v>
      </c>
      <c r="E46" s="75"/>
    </row>
    <row r="47" spans="1:5" x14ac:dyDescent="0.35">
      <c r="A47" s="22">
        <v>46134</v>
      </c>
      <c r="B47" s="16" t="s">
        <v>154</v>
      </c>
      <c r="C47" s="61">
        <v>1</v>
      </c>
      <c r="E47" s="75"/>
    </row>
    <row r="48" spans="1:5" x14ac:dyDescent="0.35">
      <c r="A48" s="22">
        <v>46135</v>
      </c>
      <c r="B48" s="16" t="s">
        <v>155</v>
      </c>
      <c r="C48" s="61">
        <v>2</v>
      </c>
      <c r="E48" s="75"/>
    </row>
    <row r="49" spans="1:5" x14ac:dyDescent="0.35">
      <c r="A49" s="22">
        <v>46135</v>
      </c>
      <c r="B49" s="16" t="s">
        <v>156</v>
      </c>
      <c r="C49" s="61">
        <v>4</v>
      </c>
      <c r="E49" s="75"/>
    </row>
    <row r="50" spans="1:5" x14ac:dyDescent="0.35">
      <c r="A50" s="22">
        <v>46140</v>
      </c>
      <c r="B50" s="16" t="s">
        <v>157</v>
      </c>
      <c r="C50" s="61">
        <v>1</v>
      </c>
      <c r="E50" s="75"/>
    </row>
    <row r="51" spans="1:5" x14ac:dyDescent="0.35">
      <c r="A51" s="22">
        <v>46140</v>
      </c>
      <c r="B51" s="16" t="s">
        <v>158</v>
      </c>
      <c r="C51" s="61">
        <v>7</v>
      </c>
      <c r="E51" s="75"/>
    </row>
    <row r="52" spans="1:5" x14ac:dyDescent="0.35">
      <c r="A52" s="22">
        <v>46141</v>
      </c>
      <c r="B52" s="16" t="s">
        <v>159</v>
      </c>
      <c r="C52" s="61">
        <v>5</v>
      </c>
      <c r="E52" s="75"/>
    </row>
    <row r="53" spans="1:5" x14ac:dyDescent="0.35">
      <c r="A53" s="22">
        <v>46142</v>
      </c>
      <c r="B53" s="16" t="s">
        <v>160</v>
      </c>
      <c r="C53" s="61">
        <v>8</v>
      </c>
      <c r="E53" s="75"/>
    </row>
    <row r="54" spans="1:5" x14ac:dyDescent="0.35">
      <c r="A54" s="22">
        <v>46146</v>
      </c>
      <c r="B54" s="16" t="s">
        <v>161</v>
      </c>
      <c r="C54" s="61">
        <v>2</v>
      </c>
      <c r="E54" s="75"/>
    </row>
    <row r="55" spans="1:5" x14ac:dyDescent="0.35">
      <c r="A55" s="22">
        <v>46146</v>
      </c>
      <c r="B55" s="16" t="s">
        <v>162</v>
      </c>
      <c r="C55" s="61">
        <v>0</v>
      </c>
      <c r="E55" s="75"/>
    </row>
    <row r="56" spans="1:5" x14ac:dyDescent="0.35">
      <c r="A56" s="22">
        <v>46148</v>
      </c>
      <c r="B56" s="16" t="s">
        <v>163</v>
      </c>
      <c r="C56" s="61">
        <v>0</v>
      </c>
      <c r="E56" s="75"/>
    </row>
    <row r="57" spans="1:5" x14ac:dyDescent="0.35">
      <c r="A57" s="22">
        <v>46150</v>
      </c>
      <c r="B57" s="16" t="s">
        <v>164</v>
      </c>
      <c r="C57" s="61">
        <v>2</v>
      </c>
      <c r="E57" s="75"/>
    </row>
    <row r="58" spans="1:5" x14ac:dyDescent="0.35">
      <c r="A58" s="22">
        <v>46150</v>
      </c>
      <c r="B58" s="16" t="s">
        <v>165</v>
      </c>
      <c r="C58" s="61">
        <v>0</v>
      </c>
      <c r="E58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BFA8-CF42-4ABC-BB63-98FA546F5975}">
  <dimension ref="A1:C15"/>
  <sheetViews>
    <sheetView tabSelected="1" zoomScale="80" zoomScaleNormal="80" workbookViewId="0">
      <selection activeCell="E13" sqref="E13"/>
    </sheetView>
  </sheetViews>
  <sheetFormatPr defaultRowHeight="14.5" x14ac:dyDescent="0.35"/>
  <cols>
    <col min="1" max="1" width="14.1796875" customWidth="1"/>
    <col min="2" max="2" width="18.81640625" bestFit="1" customWidth="1"/>
    <col min="3" max="3" width="18.453125" customWidth="1"/>
  </cols>
  <sheetData>
    <row r="1" spans="1:3" x14ac:dyDescent="0.35">
      <c r="A1" s="59" t="s">
        <v>44</v>
      </c>
      <c r="B1" s="59" t="s">
        <v>116</v>
      </c>
      <c r="C1" s="59" t="s">
        <v>46</v>
      </c>
    </row>
    <row r="2" spans="1:3" x14ac:dyDescent="0.35">
      <c r="A2" s="55">
        <v>45758</v>
      </c>
      <c r="B2" s="16" t="s">
        <v>117</v>
      </c>
      <c r="C2" s="6">
        <v>1</v>
      </c>
    </row>
    <row r="3" spans="1:3" x14ac:dyDescent="0.35">
      <c r="A3" s="55">
        <v>45798</v>
      </c>
      <c r="B3" s="16" t="s">
        <v>118</v>
      </c>
      <c r="C3" s="6">
        <v>2</v>
      </c>
    </row>
    <row r="4" spans="1:3" x14ac:dyDescent="0.35">
      <c r="A4" s="55">
        <v>45852</v>
      </c>
      <c r="B4" s="16" t="s">
        <v>119</v>
      </c>
      <c r="C4" s="6">
        <v>2</v>
      </c>
    </row>
    <row r="5" spans="1:3" x14ac:dyDescent="0.35">
      <c r="A5" s="55">
        <v>45873</v>
      </c>
      <c r="B5" s="56" t="s">
        <v>120</v>
      </c>
      <c r="C5" s="24">
        <v>2</v>
      </c>
    </row>
    <row r="6" spans="1:3" x14ac:dyDescent="0.35">
      <c r="A6" s="55">
        <v>45875</v>
      </c>
      <c r="B6" s="56" t="s">
        <v>121</v>
      </c>
      <c r="C6" s="24">
        <v>2</v>
      </c>
    </row>
    <row r="7" spans="1:3" x14ac:dyDescent="0.35">
      <c r="A7" s="55">
        <v>45960</v>
      </c>
      <c r="B7" s="56" t="s">
        <v>122</v>
      </c>
      <c r="C7" s="24">
        <v>2</v>
      </c>
    </row>
    <row r="8" spans="1:3" x14ac:dyDescent="0.35">
      <c r="A8" s="57">
        <v>46034</v>
      </c>
      <c r="B8" s="16" t="s">
        <v>134</v>
      </c>
      <c r="C8" s="24">
        <v>2</v>
      </c>
    </row>
    <row r="9" spans="1:3" x14ac:dyDescent="0.35">
      <c r="A9" s="57">
        <v>46114</v>
      </c>
      <c r="B9" s="56" t="s">
        <v>123</v>
      </c>
      <c r="C9" s="24">
        <v>2</v>
      </c>
    </row>
    <row r="10" spans="1:3" x14ac:dyDescent="0.35">
      <c r="A10" s="57">
        <v>46120</v>
      </c>
      <c r="B10" s="87" t="s">
        <v>166</v>
      </c>
      <c r="C10" s="24">
        <v>2</v>
      </c>
    </row>
    <row r="11" spans="1:3" x14ac:dyDescent="0.35">
      <c r="A11" s="57">
        <v>46126</v>
      </c>
      <c r="B11" s="16" t="s">
        <v>167</v>
      </c>
      <c r="C11" s="6">
        <v>3</v>
      </c>
    </row>
    <row r="12" spans="1:3" x14ac:dyDescent="0.35">
      <c r="A12" s="57">
        <v>46132</v>
      </c>
      <c r="B12" s="16" t="s">
        <v>168</v>
      </c>
      <c r="C12" s="6">
        <v>3</v>
      </c>
    </row>
    <row r="13" spans="1:3" x14ac:dyDescent="0.35">
      <c r="A13" s="57">
        <v>46133</v>
      </c>
      <c r="B13" s="16" t="s">
        <v>169</v>
      </c>
      <c r="C13" s="6">
        <v>1</v>
      </c>
    </row>
    <row r="14" spans="1:3" x14ac:dyDescent="0.35">
      <c r="A14" s="57">
        <v>46134</v>
      </c>
      <c r="B14" s="16" t="s">
        <v>170</v>
      </c>
      <c r="C14" s="6">
        <v>2</v>
      </c>
    </row>
    <row r="15" spans="1:3" x14ac:dyDescent="0.35">
      <c r="A15" s="76" t="s">
        <v>93</v>
      </c>
      <c r="B15" s="77"/>
      <c r="C15" s="58">
        <f>SUM(C2:C9)</f>
        <v>15</v>
      </c>
    </row>
  </sheetData>
  <mergeCells count="1">
    <mergeCell ref="A15:B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760453-53ae-4297-a54b-71eea824cb11}" enabled="1" method="Privileged" siteId="{aeea8c8a-851e-46dc-b993-cac6f54b59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Screening</vt:lpstr>
      <vt:lpstr>Remittance</vt:lpstr>
      <vt:lpstr> Sub Merchant</vt:lpstr>
      <vt:lpstr>Newsletter</vt:lpstr>
      <vt:lpstr>DTTOT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Faizah Zahrani</dc:creator>
  <cp:lastModifiedBy>Faizah Zahrani</cp:lastModifiedBy>
  <dcterms:created xsi:type="dcterms:W3CDTF">2026-04-05T07:48:06Z</dcterms:created>
  <dcterms:modified xsi:type="dcterms:W3CDTF">2026-05-11T02:56:57Z</dcterms:modified>
</cp:coreProperties>
</file>